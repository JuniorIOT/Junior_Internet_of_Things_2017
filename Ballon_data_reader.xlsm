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7536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  <c r="C9" i="1" l="1"/>
</calcChain>
</file>

<file path=xl/sharedStrings.xml><?xml version="1.0" encoding="utf-8"?>
<sst xmlns="http://schemas.openxmlformats.org/spreadsheetml/2006/main" count="276" uniqueCount="174">
  <si>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</si>
  <si>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</si>
  <si>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</si>
  <si>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</si>
  <si>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</si>
  <si>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</si>
  <si>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</si>
  <si>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</si>
  <si>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</si>
  <si>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</si>
  <si>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</si>
  <si>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</si>
  <si>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</si>
  <si>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</si>
  <si>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</si>
  <si>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</si>
  <si>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</si>
  <si>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</si>
  <si>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</si>
  <si>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</si>
  <si>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</si>
  <si>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</si>
  <si>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</si>
  <si>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</si>
  <si>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</si>
  <si>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</si>
  <si>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</si>
  <si>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</si>
  <si>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</si>
  <si>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</si>
  <si>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</si>
  <si>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</si>
  <si>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</si>
  <si>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</si>
  <si>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</si>
  <si>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</si>
  <si>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</si>
  <si>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</si>
  <si>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</si>
  <si>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</si>
  <si>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</si>
  <si>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</si>
  <si>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</si>
  <si>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</si>
  <si>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</si>
  <si>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</si>
  <si>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</si>
  <si>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</si>
  <si>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</si>
  <si>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</si>
  <si>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</si>
  <si>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</si>
  <si>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</si>
  <si>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</si>
  <si>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</si>
  <si>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</si>
  <si>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</si>
  <si>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</si>
  <si>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</si>
  <si>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</si>
  <si>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</si>
  <si>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</si>
  <si>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</si>
  <si>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</si>
  <si>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</si>
  <si>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</si>
  <si>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</si>
  <si>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</si>
  <si>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ballon_murmellius</t>
  </si>
  <si>
    <t>ca d5 15 83 5f ca 0 0 a / cc 7c 0</t>
  </si>
  <si>
    <t>{"arduino_VCC":4.2,"arduino_temp":24,"device_id":"ballon_murmellius","gps_alt":0,"gps_lat":52.61650577881966,"gps_lng":4.7449460473624185,"gps_prec":1,"payload":"ca d5 15 83 5f ca 0 0 a / d2 7c 0","raw":"ytUVg1/KAAAK0nwA","time":"2017-03-24T14:22:57.860801518Z","time_to_fix":0</t>
  </si>
  <si>
    <t>ca d5 15 83 5f ca 0 0 a / d2 7c 0</t>
  </si>
  <si>
    <t>{"arduino_VCC":4.22,"arduino_temp":24,"device_id":"ballon_murmellius","gps_alt":0,"gps_lat":52.61650577881966,"gps_lng":4.7449460473624185,"gps_prec":1,"payload":"ca d5 15 83 5f ca 0 0 a / d3 7c 0","raw":"ytUVg1/KAAAK03wA","time":"2017-03-24T14:25:09.920224126Z","time_to_fix":0</t>
  </si>
  <si>
    <t>ca d5 15 83 5f ca 0 0 a / d3 7c 0</t>
  </si>
  <si>
    <t>{"arduino_VCC":4.22,"arduino_temp":24,"device_id":"ballon_murmellius","gps_alt":0,"gps_lat":52.61650577881966,"gps_lng":4.7449460473624185,"gps_prec":1,"payload":"ca d5 15 83 5f ca 0 0 a / d3 7c 0","raw":"ytUVg1/KAAAK03wA","time":"2017-03-24T14:29:33.587851926Z","time_to_fix":0</t>
  </si>
  <si>
    <t>{"arduino_VCC":4.2,"arduino_temp":24,"device_id":"ballon_murmellius","gps_alt":0,"gps_lat":52.616548694166454,"gps_lng":4.744903132015622,"gps_prec":1,"payload":"ca d5 19 83 5f c8 0 0 a / d2 7c 0","raw":"ytUZg1/IAAAK0nwA","time":"2017-03-24T14:36:19.107211039Z","time_to_fix":0</t>
  </si>
  <si>
    <t>ca d5 19 83 5f c8 0 0 a / d2 7c 0</t>
  </si>
  <si>
    <t>{"arduino_VCC":4.2,"arduino_temp":22,"device_id":"ballon_murmellius","gps_alt":0,"gps_lat":52.61653796532977,"gps_lng":4.744881674342253,"gps_prec":1,"payload":"ca d5 18 83 5f c7 0 0 a / d2 7a 0","raw":"ytUYg1/HAAAK0noA","time":"2017-03-24T14:42:41.976548442Z","time_to_fix":0</t>
  </si>
  <si>
    <t>ca d5 18 83 5f c7 0 0 a / d2 7a 0</t>
  </si>
  <si>
    <t>{"arduino_VCC":4.18,"arduino_temp":22,"device_id":"ballon_murmellius","gps_alt":0,"gps_lat":52.61653796532977,"gps_lng":4.744881674342253,"gps_prec":1,"payload":"ca d5 18 83 5f c7 0 0 a / d1 7a 0","raw":"ytUYg1/HAAAK0XoA","time":"2017-03-24T14:46:03.055563552Z","time_to_fix":0</t>
  </si>
  <si>
    <t>ca d5 18 83 5f c7 0 0 a / d1 7a 0</t>
  </si>
  <si>
    <t>{"arduino_VCC":4.16,"arduino_temp":22,"device_id":"ballon_murmellius","gps_alt":0,"gps_lat":52.61648432114626,"gps_lng":4.744903132015622,"gps_prec":1,"payload":"ca d5 13 83 5f c8 0 0 a / d0 7a 0","raw":"ytUTg1/IAAAK0HoA","time":"2017-03-24T14:53:03.021553277Z","time_to_fix":0</t>
  </si>
  <si>
    <t>ca d5 13 83 5f c8 0 0 a / d0 7a 0</t>
  </si>
  <si>
    <t>{"arduino_VCC":4.16,"arduino_temp":22,"device_id":"ballon_murmellius","gps_alt":0,"gps_lat":52.61653796532977,"gps_lng":4.74481730132203,"gps_prec":1.9,"payload":"ca d5 18 83 5f c4 0 0 13 / d0 7a 0","raw":"ytUYg1/EAAAT0HoA","time":"2017-03-24T14:59:26.485301066Z","time_to_fix":0</t>
  </si>
  <si>
    <t>ca d5 18 83 5f c4 0 0 13 / d0 7a 0</t>
  </si>
  <si>
    <t>{"arduino_VCC":4.14,"arduino_temp":22,"device_id":"ballon_murmellius","gps_alt":0,"gps_lat":52.616548694166454,"gps_lng":4.744903132015622,"gps_prec":1.8,"payload":"ca d5 19 83 5f c8 0 0 12 / cf 7a 0","raw":"ytUZg1/IAAASz3oA","time":"2017-03-24T15:05:14.30238921Z","time_to_fix":0</t>
  </si>
  <si>
    <t>ca d5 19 83 5f c8 0 0 12 / cf 7a 0</t>
  </si>
  <si>
    <t>{"arduino_VCC":4.12,"arduino_temp":22,"device_id":"ballon_murmellius","gps_alt":0,"gps_lat":52.61650577881966,"gps_lng":4.744838758995456,"gps_prec":1,"payload":"ca d5 15 83 5f c5 0 0 a / ce 7a 0","raw":"ytUVg1/FAAAKznoA","time":"2017-03-24T15:16:14.487893864Z","time_to_fix":0</t>
  </si>
  <si>
    <t>ca d5 15 83 5f c5 0 0 a / ce 7a 0</t>
  </si>
  <si>
    <t>{"arduino_VCC":4.1,"arduino_temp":22,"device_id":"ballon_murmellius","gps_alt":0,"gps_lat":52.61651650765637,"gps_lng":4.744838758995456,"gps_prec":1,"payload":"ca d5 16 83 5f c5 0 0 a / cd 7a 0","raw":"ytUWg1/FAAAKzXoA","time":"2017-03-24T15:17:50.155034064Z","time_to_fix":0</t>
  </si>
  <si>
    <t>ca d5 16 83 5f c5 0 0 a / cd 7a 0</t>
  </si>
  <si>
    <t>{"arduino_VCC":4.08,"arduino_temp":21,"device_id":"ballon_murmellius","gps_alt":0,"gps_lat":52.61648432114626,"gps_lng":4.7449460473624185,"gps_prec":1.4,"payload":"ca d5 13 83 5f ca 0 0 e / cc 79 0","raw":"ytUTg1/KAAAOzHkA","time":"2017-03-24T15:25:43.618978694Z","time_to_fix":0</t>
  </si>
  <si>
    <t>ca d5 13 83 5f ca 0 0 e / cc 79 0</t>
  </si>
  <si>
    <t>{"arduino_VCC":4.08,"arduino_temp":21,"device_id":"ballon_murmellius","gps_alt":0,"gps_lat":52.61651650765637,"gps_lng":4.744881674342253,"gps_prec":0.8,"payload":"ca d5 16 83 5f c7 0 0 8 / cc 79 0","raw":"ytUWg1/HAAAIzHkA","time":"2017-03-24T15:29:10.862228304Z","time_to_fix":0</t>
  </si>
  <si>
    <t>ca d5 16 83 5f c7 0 0 8 / cc 79 0</t>
  </si>
  <si>
    <t>{"arduino_VCC":4.08,"arduino_temp":21,"device_id":"ballon_murmellius","gps_alt":0,"gps_lat":52.61644140579946,"gps_lng":4.744881674342253,"gps_prec":0.8,"payload":"ca d5 f 83 5f c7 0 0 8 / cc 79 0","raw":"ytUPg1/HAAAIzHkA","time":"2017-03-24T15:39:54.957555828Z","time_to_fix":0</t>
  </si>
  <si>
    <t>ca d5 f 83 5f c7 0 0 8 / cc 79 0</t>
  </si>
  <si>
    <t>{"arduino_VCC":4.06,"arduino_temp":21,"device_id":"ballon_murmellius","gps_alt":0,"gps_lat":52.616473592309575,"gps_lng":4.744838758995456,"gps_prec":0.9,"payload":"ca d5 12 83 5f c5 0 0 9 / cb 79 0","raw":"ytUSg1/FAAAJy3kA","time":"2017-03-24T15:41:11.615900482Z","time_to_fix":0</t>
  </si>
  <si>
    <t>ca d5 12 83 5f c5 0 0 9 / cb 79 0</t>
  </si>
  <si>
    <t>{"arduino_VCC":4.06,"arduino_temp":21,"device_id":"ballon_murmellius","gps_alt":0,"gps_lat":52.61650577881966,"gps_lng":4.744881674342253,"gps_prec":0.9,"payload":"ca d5 15 83 5f c7 0 0 9 / cb 79 0","raw":"ytUVg1/HAAAJy3kA","time":"2017-03-24T15:49:10.480816229Z","time_to_fix":0</t>
  </si>
  <si>
    <t>ca d5 15 83 5f c7 0 0 9 / cb 79 0</t>
  </si>
  <si>
    <t>{"arduino_VCC":4.04,"arduino_temp":21,"device_id":"ballon_murmellius","gps_alt":0,"gps_lat":52.61651650765637,"gps_lng":4.744924589689049,"gps_prec":1,"payload":"ca d5 16 83 5f c9 0 0 a / ca 79 0","raw":"ytUWg1/JAAAKynkA","time":"2017-03-24T15:53:27.300601386Z","time_to_fix":0</t>
  </si>
  <si>
    <t>ca d5 16 83 5f c9 0 0 a / ca 79 0</t>
  </si>
  <si>
    <t>{"arduino_VCC":4.04,"arduino_temp":21,"device_id":"ballon_murmellius","gps_alt":0,"gps_lat":52.61651650765637,"gps_lng":4.744860216668826,"gps_prec":0.9,"payload":"ca d5 16 83 5f c6 0 0 9 / ca 79 0","raw":"ytUWg1/GAAAJynkA","time":"2017-03-24T15:57:19.520163275Z","time_to_fix":0</t>
  </si>
  <si>
    <t>ca d5 16 83 5f c6 0 0 9 / ca 79 0</t>
  </si>
  <si>
    <t>{"arduino_VCC":4.04,"arduino_temp":21,"device_id":"ballon_murmellius","gps_alt":0,"gps_lat":52.61657015183985,"gps_lng":4.7449460473624185,"gps_prec":0.9,"payload":"ca d5 1b 83 5f ca 0 0 9 / ca 79 0","raw":"ytUbg1/KAAAJynkA","time":"2017-03-24T16:06:13.626189607Z","time_to_fix":0</t>
  </si>
  <si>
    <t>ca d5 1b 83 5f ca 0 0 9 / ca 79 0</t>
  </si>
  <si>
    <t>{"arduino_VCC":3.9,"arduino_temp":-2,"device_id":"ballon_jan_arentsz","gps_alt":11,"gps_lat":52.63832823266554,"gps_lng":4.749559447143042,"gps_prec":1.3,"payload":"ca dd 7 83 60 a1 0 b d / c3 62 4d","raw":"yt0Hg2ChAAsNw2JN","time":"2017-03-25T15:44:50.116471772Z","time_to_fix":145</t>
  </si>
  <si>
    <t>ballon_jan_arentsz</t>
  </si>
  <si>
    <t>ca dd 7 83 60 a1 0 b d / c3 62 4d</t>
  </si>
  <si>
    <t>{"arduino_VCC":3.9,"arduino_temp":-6,"device_id":"ballon_jan_arentsz","gps_alt":10,"gps_lat":52.63839260568574,"gps_lng":4.749623820163208,"gps_prec":1,"payload":"ca dd d 83 60 a4 0 a a / c3 5e a","raw":"yt0Ng2CkAAoKw14K","time":"2017-03-25T15:46:50.727342487Z","time_to_fix":10</t>
  </si>
  <si>
    <t>ca dd d 83 60 a4 0 a a / c3 5e a</t>
  </si>
  <si>
    <t>{"arduino_VCC":3.9,"arduino_temp":-7,"device_id":"ballon_jan_arentsz","gps_alt":8,"gps_lat":52.63834969033894,"gps_lng":4.749580904816412,"gps_prec":1.2,"payload":"ca dd 9 83 60 a2 0 8 c / c3 5d a","raw":"yt0Jg2CiAAgMw10K","time":"2017-03-25T15:48:51.076426824Z","time_to_fix":10</t>
  </si>
  <si>
    <t>ca dd 9 83 60 a2 0 8 c / c3 5d a</t>
  </si>
  <si>
    <t>{"arduino_VCC":3.88,"arduino_temp":-7,"device_id":"ballon_jan_arentsz","gps_alt":0,"gps_lat":52.63832823266554,"gps_lng":4.749623820163208,"gps_prec":1,"payload":"ca dd 7 83 60 a4 0 0 a / c2 5d a","raw":"yt0Hg2CkAAAKwl0K","time":"2017-03-25T15:50:51.739700277Z","time_to_fix":10</t>
  </si>
  <si>
    <t>ca dd 7 83 60 a4 0 0 a / c2 5d a</t>
  </si>
  <si>
    <t>{"arduino_VCC":3.88,"arduino_temp":-10,"device_id":"ballon_jan_arentsz","gps_alt":0,"gps_lat":52.63832823266554,"gps_lng":4.7496023624898385,"gps_prec":0.9,"payload":"ca dd 7 83 60 a3 0 0 9 / c2 5a a","raw":"yt0Hg2CjAAAJwloK","time":"2017-03-25T15:52:52.726597901Z","time_to_fix":10</t>
  </si>
  <si>
    <t>ca dd 7 83 60 a3 0 0 9 / c2 5a a</t>
  </si>
  <si>
    <t>{"arduino_VCC":3.88,"arduino_temp":-7,"device_id":"ballon_jan_arentsz","gps_alt":27,"gps_lat":52.638253130808664,"gps_lng":4.74947361644945,"gps_prec":1.3,"payload":"ca dd 0 83 60 9d 0 1b d / c2 5d a","raw":"yt0Ag2CdABsNwl0K","time":"2017-03-25T15:54:53.125626612Z","time_to_fix":10</t>
  </si>
  <si>
    <t>ca dd 0 83 60 9d 0 1b d / c2 5d a</t>
  </si>
  <si>
    <t>{"arduino_VCC":3.88,"arduino_temp":-7,"device_id":"ballon_jan_arentsz","gps_alt":23,"gps_lat":52.63831750382886,"gps_lng":4.749580904816412,"gps_prec":1.3,"payload":"ca dd 6 83 60 a2 0 17 d / c2 5d a","raw":"yt0Gg2CiABcNwl0K","time":"2017-03-25T15:56:54.224384152Z","time_to_fix":10</t>
  </si>
  <si>
    <t>ca dd 6 83 60 a2 0 17 d / c2 5d a</t>
  </si>
  <si>
    <t>{"arduino_VCC":3.88,"arduino_temp":-8,"device_id":"ballon_jan_arentsz","gps_alt":6,"gps_lat":52.638360419175655,"gps_lng":4.749580904816412,"gps_prec":1.7,"payload":"ca dd a 83 60 a2 0 6 11 / c2 5c a","raw":"yt0Kg2CiAAYRwlwK","time":"2017-03-25T15:58:55.134405104Z","time_to_fix":10</t>
  </si>
  <si>
    <t>ca dd a 83 60 a2 0 6 11 / c2 5c a</t>
  </si>
  <si>
    <t>ca dd a 83 60 9e 0 13 11 / c2 5d a</t>
  </si>
  <si>
    <t>7d</t>
  </si>
  <si>
    <t>[{"arduino_VCC":4.1,"arduino_temp":23,"device_id":"ballon","gps_alt":10,"gps_lat":52.63834969033894,"gps_lng":4.749537989469616,"gps_prec":2.2,"payload":"ca dd 9 83 60 a0 0 a 16 / cd 7b a8","raw":"yt0Jg2CgAAoWzXuo","time":"2017-03-23T13:44:31.052808767Z","time_to_fix":600</t>
  </si>
  <si>
    <t>ca dd 9 83 60 a0 0 a 16 / cd 7b a8</t>
  </si>
  <si>
    <t>{"arduino_VCC":4.1,"arduino_temp":22,"device_id":"ballon","gps_alt":12,"gps_lat":52.63828531731875,"gps_lng":4.749409243429227,"gps_prec":2.2,"payload":"ca dd 3 83 60 9a 0 c 16 / cd 7a a","raw":"yt0Dg2CaAAwWzXoK","time":"2017-03-23T13:46:31.700981358Z","time_to_fix":10</t>
  </si>
  <si>
    <t>ca dd 3 83 60 9a 0 c 16 / cd 7a a</t>
  </si>
  <si>
    <t>{"arduino_VCC":4.1,"arduino_temp":20,"device_id":"ballon","gps_alt":6,"gps_lat":52.637781061993905,"gps_lng":4.749988600611005,"gps_prec":2.1,"payload":"ca dc d4 83 60 b5 0 6 15 / cd 78 19","raw":"ytzUg2C1AAYVzXgZ","time":"2017-03-23T13:48:47.193804087Z","time_to_fix":25</t>
  </si>
  <si>
    <t>ca dc d4 83 60 b5 0 6 15 / cd 78 19</t>
  </si>
  <si>
    <t>{"arduino_VCC":4.1,"arduino_temp":17,"device_id":"ballon","gps_alt":13,"gps_lat":52.637802519667304,"gps_lng":4.749967142937578,"gps_prec":2.1,"payload":"ca dc d6 83 60 b4 0 d 15 / cd 75 a","raw":"ytzWg2C0AA0VzXUK","time":"2017-03-23T13:50:33.168970423Z","time_to_fix":10</t>
  </si>
  <si>
    <t>ca dc d6 83 60 b4 0 d 15 / cd 75 a</t>
  </si>
  <si>
    <t>{"arduino_VCC":4.08,"arduino_temp":21,"device_id":"ballon","gps_alt":13,"gps_lat":52.637802519667304,"gps_lng":4.749967142937578,"gps_prec":2.1,"payload":"ca dc d6 83 60 b4 0 d 15 / cc 79 49","raw":"ytzWg2C0AA0VzHlJ","time":"2017-03-23T13:56:40.883848327Z","time_to_fix":125</t>
  </si>
  <si>
    <t>ca dc d6 83 60 b4 0 d 15 / cc 79 49</t>
  </si>
  <si>
    <t>{"arduino_VCC":4.06,"arduino_temp":21,"device_id":"ballon","gps_alt":8,"gps_lat":52.638650097766515,"gps_lng":4.749731108530227,"gps_prec":3.9,"payload":"ca dd 25 83 60 a9 0 8 27 / cb 79 23","raw":"yt0lg2CpAAgny3kj","time":"2017-03-23T13:57:23.464349812Z","time_to_fix":35</t>
  </si>
  <si>
    <t>ca dd 25 83 60 a9 0 8 27 / cb 79 23</t>
  </si>
  <si>
    <t>{"arduino_VCC":4.08,"arduino_temp":23,"device_id":"ballon","gps_alt":63,"gps_lat":52.63797418105449,"gps_lng":4.749924227590782,"gps_prec":3.6,"payload":"ca dc e6 83 60 b2 0 3f 24 / cc 7b 28","raw":"ytzmg2CyAD8kzHso","time":"2017-03-23T13:59:29.579977714Z","time_to_fix":40</t>
  </si>
  <si>
    <t>ca dc e6 83 60 b2 0 3f 24 / cc 7b 28</t>
  </si>
  <si>
    <t>{"arduino_VCC":4.06,"arduino_temp":24,"device_id":"ballon","gps_alt":0,"gps_lat":52.63848916521604,"gps_lng":4.750010058284374,"gps_prec":3.6,"payload":"ca dd 16 83 60 b6 0 0 24 / cb 7c 46","raw":"yt0Wg2C2AAAky3xG","time":"2017-03-23T14:02:40.866195192Z","time_to_fix":110</t>
  </si>
  <si>
    <t>ca dd 16 83 60 b6 0 0 24 / cb 7c 46</t>
  </si>
  <si>
    <t>{"arduino_VCC":4.04,"arduino_temp":25,"device_id":"ballon","gps_alt":0,"gps_lat":52.638360419175655,"gps_lng":4.74981693922382,"gps_prec":2,"payload":"ca dd a 83 60 ad 0 0 14 / ca 7d 14","raw":"yt0Kg2CtAAAUyn0U","time":"2017-03-23T14:05:13.652432226Z","time_to_fix":20</t>
  </si>
  <si>
    <t>ca dd a 83 60 ad 0 0 14 / ca 7d 14</t>
  </si>
  <si>
    <t>{"arduino_VCC":4.06,"arduino_temp":24,"device_id":"ballon","gps_alt":20,"gps_lat":52.636858382037786,"gps_lng":4.750932738240522,"gps_prec":3.3,"payload":"ca dc 7e 83 60 e1 0 14 21 / cb 7c 19","raw":"ytx+g2DhABQhy3wZ","time":"2017-03-23T14:07:18.847125241Z","time_to_fix":25</t>
  </si>
  <si>
    <t>ca dc 7e 83 60 e1 0 14 21 / cb 7c 19</t>
  </si>
  <si>
    <t>{"arduino_VCC":4.04,"arduino_temp":24,"device_id":"ballon","gps_alt":20,"gps_lat":52.636858382037786,"gps_lng":4.750932738240522,"gps_prec":3.3,"payload":"ca dc 7e 83 60 e1 0 14 21 / ca 7c 49","raw":"ytx+g2DhABQhynxJ","time":"2017-03-23T14:15:24.25691634Z","time_to_fix":125</t>
  </si>
  <si>
    <t>ca dc 7e 83 60 e1 0 14 21 / ca 7c 49</t>
  </si>
  <si>
    <t>{"arduino_VCC":4.04,"arduino_temp":24,"device_id":"ballon","gps_alt":0,"gps_lat":52.63605371928534,"gps_lng":4.750546500119356,"gps_prec":2,"payload":"ca dc 33 83 60 cf 0 0 14 / ca 7c a","raw":"ytwzg2DPAAAUynwK","time":"2017-03-23T14:15:41.693678373Z","time_to_fix":10</t>
  </si>
  <si>
    <t>ca dc 33 83 60 cf 0 0 14 / ca 7c a</t>
  </si>
  <si>
    <t>{"arduino_VCC":4.04,"arduino_temp":24,"device_id":"ballon","gps_alt":0,"gps_lat":52.63837114801234,"gps_lng":4.7496023624898385,"gps_prec":2.3,"payload":"ca dd b 83 60 a3 0 0 17 / ca 7c a","raw":"yt0Lg2CjAAAXynwK","time":"2017-03-23T14:17:42.692068805Z","time_to_fix":10</t>
  </si>
  <si>
    <t>ca dd b 83 60 a3 0 0 17 / ca 7c a</t>
  </si>
  <si>
    <t>{"arduino_VCC":4.08,"arduino_temp":24,"device_id":"ballon_murmellius","gps_alt":0,"gps_lat":52.61650577881966,"gps_lng":4.7449460473624185,"gps_prec":1,"payload":"ca d5 15 83 5f ca 0 0 a / cc 7c 0","raw":"ytUVg1/KAAAKzHwA","time":"2017-03-24T14:14:37.883547531Z","time_to_fix":0</t>
  </si>
  <si>
    <t>{"arduino_VCC":3.88,"arduino_temp":-7,"device_id":"ballon_jan_arentsz","gps_alt":19,"gps_lat":52.638360419175655,"gps_lng":4.7494950741228195,"gps_prec":1.7,"payload":"ca dd a 83 60 9e 0 13 11 / c2 5d a","raw":"yt0Kg2CeABMRwl0K","time":"2017-03-25T16:00:56.078328467Z","time_to_fix":10</t>
  </si>
  <si>
    <t>ca dd 7 83 60 a1 0 0 a / c2 5d a</t>
  </si>
  <si>
    <t>{"arduino_VCC":3.88,"arduino_temp":-7,"device_id":"ballon_jan_arentsz","gps_alt":0,"gps_lat":52.63832823266554,"gps_lng":4.749559447143042,"gps_prec":1,"payload":"ca dd 7 83 60 a1 0 0 a / c2 5d a","raw":"yt0Hg2ChAAAKwl0K","time":"2017-03-25T16:04:58.234231031Z","time_to_fix":10</t>
  </si>
  <si>
    <t>{"arduino_VCC":3.88,"arduino_temp":-8,"device_id":"ballon_jan_arentsz","gps_alt":0,"gps_lat":52.63834969033894,"gps_lng":4.749559447143042,"gps_prec":1.6,"payload":"ca dd 9 83 60 a1 0 0 10 / c2 5c a","raw":"yt0Jg2ChAAAQwlwK","time":"2017-03-25T16:06:59.746149804Z","time_to_fix":10</t>
  </si>
  <si>
    <t>ca dd 9 83 60 a1 0 0 10 / c2 5c a</t>
  </si>
  <si>
    <t>{"arduino_VCC":3.88,"arduino_temp":-7,"device_id":"ballon_jan_arentsz","gps_alt":3,"gps_lat":52.63826385964535,"gps_lng":4.749537989469616,"gps_prec":1,"payload":"ca dd 1 83 60 a0 0 3 a / c2 5d a","raw":"yt0Bg2CgAAMKwl0K","time":"2017-03-25T16:09:00.447470955Z","time_to_fix":10</t>
  </si>
  <si>
    <t>ca dd 1 83 60 a0 0 3 a / c2 5d a</t>
  </si>
  <si>
    <t>{"arduino_VCC":3.88,"arduino_temp":-9,"device_id":"ballon_jan_arentsz","gps_alt":0,"gps_lat":52.638360419175655,"gps_lng":4.7496023624898385,"gps_prec":1,"payload":"ca dd a 83 60 a3 0 0 a / c2 5b a","raw":"yt0Kg2CjAAAKwlsK","time":"2017-03-25T16:11:00.70621886Z","time_to_fix":10</t>
  </si>
  <si>
    <t>ca dd a 83 60 a3 0 0 a / c2 5b a</t>
  </si>
  <si>
    <t>ca dd 3 83 60 a0 0 11 12 / c2 5c a</t>
  </si>
  <si>
    <t xml:space="preserve">[{"arduino_VCC":4.1,"arduino_temp":23,"device_id":"ballon","gps_alt":10,"gps_lat":52.63834969033894,"gps_lng":4.749537989469616,"gps_prec":2.2,"payload":"ca dd 9 83 60 a0 0 a 16 / cd 7b a8","raw":"yt0Jg2CgAAoWzXuo","time":"2017-03-23T13:44:31.052808767Z","time_to_fix":600},{"arduino_VCC":4.1,"arduino_temp":22,"device_id":"ballon","gps_alt":12,"gps_lat":52.63828531731875,"gps_lng":4.749409243429227,"gps_prec":2.2,"payload":"ca dd 3 83 60 9a 0 c 16 / cd 7a a","raw":"yt0Dg2CaAAwWzXoK","time":"2017-03-23T13:46:31.700981358Z","time_to_fix":10},{"arduino_VCC":4.1,"arduino_temp":20,"device_id":"ballon","gps_alt":6,"gps_lat":52.637781061993905,"gps_lng":4.749988600611005,"gps_prec":2.1,"payload":"ca dc d4 83 60 b5 0 6 15 / cd 78 19","raw":"ytzUg2C1AAYVzXgZ","time":"2017-03-23T13:48:47.193804087Z","time_to_fix":25},{"arduino_VCC":4.1,"arduino_temp":17,"device_id":"ballon","gps_alt":13,"gps_lat":52.637802519667304,"gps_lng":4.749967142937578,"gps_prec":2.1,"payload":"ca dc d6 83 60 b4 0 d 15 / cd 75 a","raw":"ytzWg2C0AA0VzXUK","time":"2017-03-23T13:50:33.168970423Z","time_to_fix":10},{"arduino_VCC":4.08,"arduino_temp":21,"device_id":"ballon","gps_alt":13,"gps_lat":52.637802519667304,"gps_lng":4.749967142937578,"gps_prec":2.1,"payload":"ca dc d6 83 60 b4 0 d 15 / cc 79 49","raw":"ytzWg2C0AA0VzHlJ","time":"2017-03-23T13:56:40.883848327Z","time_to_fix":125},{"arduino_VCC":4.06,"arduino_temp":21,"device_id":"ballon","gps_alt":8,"gps_lat":52.638650097766515,"gps_lng":4.749731108530227,"gps_prec":3.9,"payload":"ca dd 25 83 60 a9 0 8 27 / cb 79 23","raw":"yt0lg2CpAAgny3kj","time":"2017-03-23T13:57:23.464349812Z","time_to_fix":35},{"arduino_VCC":4.08,"arduino_temp":23,"device_id":"ballon","gps_alt":63,"gps_lat":52.63797418105449,"gps_lng":4.749924227590782,"gps_prec":3.6,"payload":"ca dc e6 83 60 b2 0 3f 24 / cc 7b 28","raw":"ytzmg2CyAD8kzHso","time":"2017-03-23T13:59:29.579977714Z","time_to_fix":40},{"arduino_VCC":4.06,"arduino_temp":24,"device_id":"ballon","gps_alt":0,"gps_lat":52.63848916521604,"gps_lng":4.750010058284374,"gps_prec":3.6,"payload":"ca dd 16 83 60 b6 0 0 24 / cb 7c 46","raw":"yt0Wg2C2AAAky3xG","time":"2017-03-23T14:02:40.866195192Z","time_to_fix":110},{"arduino_VCC":4.04,"arduino_temp":25,"device_id":"ballon","gps_alt":0,"gps_lat":52.638360419175655,"gps_lng":4.74981693922382,"gps_prec":2,"payload":"ca dd a 83 60 ad 0 0 14 / ca 7d 14","raw":"yt0Kg2CtAAAUyn0U","time":"2017-03-23T14:05:13.652432226Z","time_to_fix":20},{"arduino_VCC":4.06,"arduino_temp":24,"device_id":"ballon","gps_alt":20,"gps_lat":52.636858382037786,"gps_lng":4.750932738240522,"gps_prec":3.3,"payload":"ca dc 7e 83 60 e1 0 14 21 / cb 7c 19","raw":"ytx+g2DhABQhy3wZ","time":"2017-03-23T14:07:18.847125241Z","time_to_fix":25},{"arduino_VCC":4.04,"arduino_temp":24,"device_id":"ballon","gps_alt":20,"gps_lat":52.636858382037786,"gps_lng":4.750932738240522,"gps_prec":3.3,"payload":"ca dc 7e 83 60 e1 0 14 21 / ca 7c 49","raw":"ytx+g2DhABQhynxJ","time":"2017-03-23T14:15:24.25691634Z","time_to_fix":125},{"arduino_VCC":4.04,"arduino_temp":24,"device_id":"ballon","gps_alt":0,"gps_lat":52.63605371928534,"gps_lng":4.750546500119356,"gps_prec":2,"payload":"ca dc 33 83 60 cf 0 0 14 / ca 7c a","raw":"ytwzg2DPAAAUynwK","time":"2017-03-23T14:15:41.693678373Z","time_to_fix":10},{"arduino_VCC":4.04,"arduino_temp":24,"device_id":"ballon","gps_alt":0,"gps_lat":52.63837114801234,"gps_lng":4.7496023624898385,"gps_prec":2.3,"payload":"ca dd b 83 60 a3 0 0 17 / ca 7c a","raw":"yt0Lg2CjAAAXynwK","time":"2017-03-23T14:17:42.692068805Z","time_to_fix":10},{"arduino_VCC":4.08,"arduino_temp":24,"device_id":"ballon_murmellius","gps_alt":0,"gps_lat":52.61650577881966,"gps_lng":4.7449460473624185,"gps_prec":1,"payload":"ca d5 15 83 5f ca 0 0 a / cc 7c 0","raw":"ytUVg1/KAAAKzHwA","time":"2017-03-24T14:14:37.883547531Z","time_to_fix":0},{"arduino_VCC":4.2,"arduino_temp":24,"device_id":"ballon_murmellius","gps_alt":0,"gps_lat":52.61650577881966,"gps_lng":4.7449460473624185,"gps_prec":1,"payload":"ca d5 15 83 5f ca 0 0 a / d2 7c 0","raw":"ytUVg1/KAAAK0nwA","time":"2017-03-24T14:22:57.860801518Z","time_to_fix":0},{"arduino_VCC":4.22,"arduino_temp":24,"device_id":"ballon_murmellius","gps_alt":0,"gps_lat":52.61650577881966,"gps_lng":4.7449460473624185,"gps_prec":1,"payload":"ca d5 15 83 5f ca 0 0 a / d3 7c 0","raw":"ytUVg1/KAAAK03wA","time":"2017-03-24T14:25:09.920224126Z","time_to_fix":0},{"arduino_VCC":4.22,"arduino_temp":24,"device_id":"ballon_murmellius","gps_alt":0,"gps_lat":52.61650577881966,"gps_lng":4.7449460473624185,"gps_prec":1,"payload":"ca d5 15 83 5f ca 0 0 a / d3 7c 0","raw":"ytUVg1/KAAAK03wA","time":"2017-03-24T14:29:33.587851926Z","time_to_fix":0},{"arduino_VCC":4.2,"arduino_temp":24,"device_id":"ballon_murmellius","gps_alt":0,"gps_lat":52.616548694166454,"gps_lng":4.744903132015622,"gps_prec":1,"payload":"ca d5 19 83 5f c8 0 0 a / d2 7c 0","raw":"ytUZg1/IAAAK0nwA","time":"2017-03-24T14:36:19.107211039Z","time_to_fix":0},{"arduino_VCC":4.2,"arduino_temp":22,"device_id":"ballon_murmellius","gps_alt":0,"gps_lat":52.61653796532977,"gps_lng":4.744881674342253,"gps_prec":1,"payload":"ca d5 18 83 5f c7 0 0 a / d2 7a 0","raw":"ytUYg1/HAAAK0noA","time":"2017-03-24T14:42:41.976548442Z","time_to_fix":0},{"arduino_VCC":4.18,"arduino_temp":22,"device_id":"ballon_murmellius","gps_alt":0,"gps_lat":52.61653796532977,"gps_lng":4.744881674342253,"gps_prec":1,"payload":"ca d5 18 83 5f c7 0 0 a / d1 7a 0","raw":"ytUYg1/HAAAK0XoA","time":"2017-03-24T14:46:03.055563552Z","time_to_fix":0},{"arduino_VCC":4.16,"arduino_temp":22,"device_id":"ballon_murmellius","gps_alt":0,"gps_lat":52.61648432114626,"gps_lng":4.744903132015622,"gps_prec":1,"payload":"ca d5 13 83 5f c8 0 0 a / d0 7a 0","raw":"ytUTg1/IAAAK0HoA","time":"2017-03-24T14:53:03.021553277Z","time_to_fix":0},{"arduino_VCC":4.16,"arduino_temp":22,"device_id":"ballon_murmellius","gps_alt":0,"gps_lat":52.61653796532977,"gps_lng":4.74481730132203,"gps_prec":1.9,"payload":"ca d5 18 83 5f c4 0 0 13 / d0 7a 0","raw":"ytUYg1/EAAAT0HoA","time":"2017-03-24T14:59:26.485301066Z","time_to_fix":0},{"arduino_VCC":4.14,"arduino_temp":22,"device_id":"ballon_murmellius","gps_alt":0,"gps_lat":52.616548694166454,"gps_lng":4.744903132015622,"gps_prec":1.8,"payload":"ca d5 19 83 5f c8 0 0 12 / cf 7a 0","raw":"ytUZg1/IAAASz3oA","time":"2017-03-24T15:05:14.30238921Z","time_to_fix":0},{"arduino_VCC":4.12,"arduino_temp":22,"device_id":"ballon_murmellius","gps_alt":0,"gps_lat":52.61650577881966,"gps_lng":4.744838758995456,"gps_prec":1,"payload":"ca d5 15 83 5f c5 0 0 a / ce 7a 0","raw":"ytUVg1/FAAAKznoA","time":"2017-03-24T15:16:14.487893864Z","time_to_fix":0},{"arduino_VCC":4.1,"arduino_temp":22,"device_id":"ballon_murmellius","gps_alt":0,"gps_lat":52.61651650765637,"gps_lng":4.744838758995456,"gps_prec":1,"payload":"ca d5 16 83 5f c5 0 0 a / cd 7a 0","raw":"ytUWg1/FAAAKzXoA","time":"2017-03-24T15:17:50.155034064Z","time_to_fix":0},{"arduino_VCC":4.08,"arduino_temp":21,"device_id":"ballon_murmellius","gps_alt":0,"gps_lat":52.61648432114626,"gps_lng":4.7449460473624185,"gps_prec":1.4,"payload":"ca d5 13 83 5f ca 0 0 e / cc 79 0","raw":"ytUTg1/KAAAOzHkA","time":"2017-03-24T15:25:43.618978694Z","time_to_fix":0},{"arduino_VCC":4.08,"arduino_temp":21,"device_id":"ballon_murmellius","gps_alt":0,"gps_lat":52.61651650765637,"gps_lng":4.744881674342253,"gps_prec":0.8,"payload":"ca d5 16 83 5f c7 0 0 8 / cc 79 0","raw":"ytUWg1/HAAAIzHkA","time":"2017-03-24T15:29:10.862228304Z","time_to_fix":0},{"arduino_VCC":4.08,"arduino_temp":21,"device_id":"ballon_murmellius","gps_alt":0,"gps_lat":52.61644140579946,"gps_lng":4.744881674342253,"gps_prec":0.8,"payload":"ca d5 f 83 5f c7 0 0 8 / cc 79 0","raw":"ytUPg1/HAAAIzHkA","time":"2017-03-24T15:39:54.957555828Z","time_to_fix":0},{"arduino_VCC":4.06,"arduino_temp":21,"device_id":"ballon_murmellius","gps_alt":0,"gps_lat":52.616473592309575,"gps_lng":4.744838758995456,"gps_prec":0.9,"payload":"ca d5 12 83 5f c5 0 0 9 / cb 79 0","raw":"ytUSg1/FAAAJy3kA","time":"2017-03-24T15:41:11.615900482Z","time_to_fix":0},{"arduino_VCC":4.06,"arduino_temp":21,"device_id":"ballon_murmellius","gps_alt":0,"gps_lat":52.61650577881966,"gps_lng":4.744881674342253,"gps_prec":0.9,"payload":"ca d5 15 83 5f c7 0 0 9 / cb 79 0","raw":"ytUVg1/HAAAJy3kA","time":"2017-03-24T15:49:10.480816229Z","time_to_fix":0},{"arduino_VCC":4.04,"arduino_temp":21,"device_id":"ballon_murmellius","gps_alt":0,"gps_lat":52.61651650765637,"gps_lng":4.744924589689049,"gps_prec":1,"payload":"ca d5 16 83 5f c9 0 0 a / ca 79 0","raw":"ytUWg1/JAAAKynkA","time":"2017-03-24T15:53:27.300601386Z","time_to_fix":0},{"arduino_VCC":4.04,"arduino_temp":21,"device_id":"ballon_murmellius","gps_alt":0,"gps_lat":52.61651650765637,"gps_lng":4.744860216668826,"gps_prec":0.9,"payload":"ca d5 16 83 5f c6 0 0 9 / ca 79 0","raw":"ytUWg1/GAAAJynkA","time":"2017-03-24T15:57:19.520163275Z","time_to_fix":0},{"arduino_VCC":4.04,"arduino_temp":21,"device_id":"ballon_murmellius","gps_alt":0,"gps_lat":52.61657015183985,"gps_lng":4.7449460473624185,"gps_prec":0.9,"payload":"ca d5 1b 83 5f ca 0 0 9 / ca 79 0","raw":"ytUbg1/KAAAJynkA","time":"2017-03-24T16:06:13.626189607Z","time_to_fix":0},{"arduino_VCC":3.9,"arduino_temp":-2,"device_id":"ballon_jan_arentsz","gps_alt":11,"gps_lat":52.63832823266554,"gps_lng":4.749559447143042,"gps_prec":1.3,"payload":"ca dd 7 83 60 a1 0 b d / c3 62 4d","raw":"yt0Hg2ChAAsNw2JN","time":"2017-03-25T15:44:50.116471772Z","time_to_fix":145},{"arduino_VCC":3.9,"arduino_temp":-6,"device_id":"ballon_jan_arentsz","gps_alt":10,"gps_lat":52.63839260568574,"gps_lng":4.749623820163208,"gps_prec":1,"payload":"ca dd d 83 60 a4 0 a a / c3 5e a","raw":"yt0Ng2CkAAoKw14K","time":"2017-03-25T15:46:50.727342487Z","time_to_fix":10},{"arduino_VCC":3.9,"arduino_temp":-7,"device_id":"ballon_jan_arentsz","gps_alt":8,"gps_lat":52.63834969033894,"gps_lng":4.749580904816412,"gps_prec":1.2,"payload":"ca dd 9 83 60 a2 0 8 c / c3 5d a","raw":"yt0Jg2CiAAgMw10K","time":"2017-03-25T15:48:51.076426824Z","time_to_fix":10},{"arduino_VCC":3.88,"arduino_temp":-7,"device_id":"ballon_jan_arentsz","gps_alt":0,"gps_lat":52.63832823266554,"gps_lng":4.749623820163208,"gps_prec":1,"payload":"ca dd 7 83 60 a4 0 0 a / c2 5d a","raw":"yt0Hg2CkAAAKwl0K","time":"2017-03-25T15:50:51.739700277Z","time_to_fix":10},{"arduino_VCC":3.88,"arduino_temp":-10,"device_id":"ballon_jan_arentsz","gps_alt":0,"gps_lat":52.63832823266554,"gps_lng":4.7496023624898385,"gps_prec":0.9,"payload":"ca dd 7 83 60 a3 0 0 9 / c2 5a a","raw":"yt0Hg2CjAAAJwloK","time":"2017-03-25T15:52:52.726597901Z","time_to_fix":10},{"arduino_VCC":3.88,"arduino_temp":-7,"device_id":"ballon_jan_arentsz","gps_alt":27,"gps_lat":52.638253130808664,"gps_lng":4.74947361644945,"gps_prec":1.3,"payload":"ca dd 0 83 60 9d 0 1b d / c2 5d a","raw":"yt0Ag2CdABsNwl0K","time":"2017-03-25T15:54:53.125626612Z","time_to_fix":10},{"arduino_VCC":3.88,"arduino_temp":-7,"device_id":"ballon_jan_arentsz","gps_alt":23,"gps_lat":52.63831750382886,"gps_lng":4.749580904816412,"gps_prec":1.3,"payload":"ca dd 6 83 60 a2 0 17 d / c2 5d a","raw":"yt0Gg2CiABcNwl0K","time":"2017-03-25T15:56:54.224384152Z","time_to_fix":10},{"arduino_VCC":3.88,"arduino_temp":-8,"device_id":"ballon_jan_arentsz","gps_alt":6,"gps_lat":52.638360419175655,"gps_lng":4.749580904816412,"gps_prec":1.7,"payload":"ca dd a 83 60 a2 0 6 11 / c2 5c a","raw":"yt0Kg2CiAAYRwlwK","time":"2017-03-25T15:58:55.134405104Z","time_to_fix":10},{"arduino_VCC":3.88,"arduino_temp":-7,"device_id":"ballon_jan_arentsz","gps_alt":19,"gps_lat":52.638360419175655,"gps_lng":4.7494950741228195,"gps_prec":1.7,"payload":"ca dd a 83 60 9e 0 13 11 / c2 5d a","raw":"yt0Kg2CeABMRwl0K","time":"2017-03-25T16:00:56.078328467Z","time_to_fix":10},{"arduino_VCC":3.88,"arduino_temp":-7,"device_id":"ballon_jan_arentsz","gps_alt":0,"gps_lat":52.63832823266554,"gps_lng":4.749559447143042,"gps_prec":1,"payload":"ca dd 7 83 60 a1 0 0 a / c2 5d a","raw":"yt0Hg2ChAAAKwl0K","time":"2017-03-25T16:04:58.234231031Z","time_to_fix":10},{"arduino_VCC":3.88,"arduino_temp":-8,"device_id":"ballon_jan_arentsz","gps_alt":0,"gps_lat":52.63834969033894,"gps_lng":4.749559447143042,"gps_prec":1.6,"payload":"ca dd 9 83 60 a1 0 0 10 / c2 5c a","raw":"yt0Jg2ChAAAQwlwK","time":"2017-03-25T16:06:59.746149804Z","time_to_fix":10},{"arduino_VCC":3.88,"arduino_temp":-7,"device_id":"ballon_jan_arentsz","gps_alt":3,"gps_lat":52.63826385964535,"gps_lng":4.749537989469616,"gps_prec":1,"payload":"ca dd 1 83 60 a0 0 3 a / c2 5d a","raw":"yt0Bg2CgAAMKwl0K","time":"2017-03-25T16:09:00.447470955Z","time_to_fix":10},{"arduino_VCC":3.88,"arduino_temp":-9,"device_id":"ballon_jan_arentsz","gps_alt":0,"gps_lat":52.638360419175655,"gps_lng":4.7496023624898385,"gps_prec":1,"payload":"ca dd a 83 60 a3 0 0 a / c2 5b a","raw":"yt0Kg2CjAAAKwlsK","time":"2017-03-25T16:11:00.70621886Z","time_to_fix":10},{"arduino_VCC":3.88,"arduino_temp":-8,"device_id":"ballon_jan_arentsz","gps_alt":17,"gps_lat":52.63828531731875,"gps_lng":4.749537989469616,"gps_prec":1.8,"payload":"ca dd 3 83 60 a0 0 11 12 / c2 5c a","raw":"yt0Dg2CgABESwlwK","time":"2017-03-25T16:13:01.72079923Z","time_to_fix":10},{"arduino_VCC":4.28,"arduino_temp":15,"device_id":"blon","gps_alt":0,"gps_lat":52.63840333452245,"gps_lng":4.749580904816412,"gps_prec":1.2,"payload":"ca dd e 83 60 a2 0 0 c / d6 73 40","raw":"yt0Og2CiAAAM1nNA","time":"2017-03-25T16:14:41.967620398Z","time_to_fix":80},{"arduino_VCC":3.86,"arduino_temp":-7,"device_id":"ballon_jan_arentsz","gps_alt":10,"gps_lat":52.638360419175655,"gps_lng":4.7494950741228195,"gps_prec":1.8,"payload":"ca dd a 83 60 9e 0 a 12 / c1 5d a","raw":"yt0Kg2CeAAoSwV0K","time":"2017-03-25T16:15:02.717122657Z","time_to_fix":10},{"arduino_VCC":4.28,"arduino_temp":11,"device_id":"blon","gps_alt":0,"gps_lat":52.63839260568574,"gps_lng":4.749623820163208,"gps_prec":1.2,"payload":"ca dd d 83 60 a4 0 0 c / d6 6f a","raw":"yt0Ng2CkAAAM1m8K","time":"2017-03-25T16:16:42.063753037Z","time_to_fix":10},{"arduino_VCC":3.86,"arduino_temp":-8,"device_id":"ballon_jan_arentsz","gps_alt":0,"gps_lat":52.63831750382886,"gps_lng":4.749452158776023,"gps_prec":1.5,"payload":"ca dd 6 83 60 9c 0 0 f / c1 5c a","raw":"yt0Gg2CcAAAPwVwK","time":"2017-03-25T16:17:03.036829394Z","time_to_fix":10}]
</t>
  </si>
  <si>
    <t>{"arduino_VCC":3.88,"arduino_temp":-8,"device_id":"ballon_jan_arentsz","gps_alt":17,"gps_lat":52.63828531731875,"gps_lng":4.749537989469616,"gps_prec":1.8,"payload":"ca dd 3 83 60 a0 0 11 12 / c2 5c a","raw":"yt0Dg2CgABESwlwK","time":"2017-03-25T16:13:01.72079923Z","time_to_fix":10</t>
  </si>
  <si>
    <t>{"arduino_VCC":4.28,"arduino_temp":15,"device_id":"blon","gps_alt":0,"gps_lat":52.63840333452245,"gps_lng":4.749580904816412,"gps_prec":1.2,"payload":"ca dd e 83 60 a2 0 0 c / d6 73 40","raw":"yt0Og2CiAAAM1nNA","time":"2017-03-25T16:14:41.967620398Z","time_to_fix":80</t>
  </si>
  <si>
    <t>blon</t>
  </si>
  <si>
    <t>ca dd e 83 60 a2 0 0 c / d6 73 40</t>
  </si>
  <si>
    <t>{"arduino_VCC":3.86,"arduino_temp":-7,"device_id":"ballon_jan_arentsz","gps_alt":10,"gps_lat":52.638360419175655,"gps_lng":4.7494950741228195,"gps_prec":1.8,"payload":"ca dd a 83 60 9e 0 a 12 / c1 5d a","raw":"yt0Kg2CeAAoSwV0K","time":"2017-03-25T16:15:02.717122657Z","time_to_fix":10</t>
  </si>
  <si>
    <t>ca dd a 83 60 9e 0 a 12 / c1 5d a</t>
  </si>
  <si>
    <t>{"arduino_VCC":4.28,"arduino_temp":11,"device_id":"blon","gps_alt":0,"gps_lat":52.63839260568574,"gps_lng":4.749623820163208,"gps_prec":1.2,"payload":"ca dd d 83 60 a4 0 0 c / d6 6f a","raw":"yt0Ng2CkAAAM1m8K","time":"2017-03-25T16:16:42.063753037Z","time_to_fix":10</t>
  </si>
  <si>
    <t>ca dd d 83 60 a4 0 0 c / d6 6f a</t>
  </si>
  <si>
    <t xml:space="preserve">{"arduino_VCC":3.86,"arduino_temp":-8,"device_id":"ballon_jan_arentsz","gps_alt":0,"gps_lat":52.63831750382886,"gps_lng":4.749452158776023,"gps_prec":1.5,"payload":"ca dd 6 83 60 9c 0 0 f / c1 5c a","raw":"yt0Gg2CcAAAPwVwK","time":"2017-03-25T16:17:03.036829394Z","time_to_fix":10}]
</t>
  </si>
  <si>
    <t>ca dd 6 83 60 9c 0 0 f / c1 5c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</si>
</sst>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23</c:v>
                </c:pt>
                <c:pt idx="1">
                  <c:v>22</c:v>
                </c:pt>
                <c:pt idx="2">
                  <c:v>20</c:v>
                </c:pt>
                <c:pt idx="3">
                  <c:v>17</c:v>
                </c:pt>
                <c:pt idx="4">
                  <c:v>21</c:v>
                </c:pt>
                <c:pt idx="5">
                  <c:v>21</c:v>
                </c:pt>
                <c:pt idx="6">
                  <c:v>23</c:v>
                </c:pt>
                <c:pt idx="7">
                  <c:v>24</c:v>
                </c:pt>
                <c:pt idx="8">
                  <c:v>25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24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-2</c:v>
                </c:pt>
                <c:pt idx="34">
                  <c:v>-6</c:v>
                </c:pt>
                <c:pt idx="35">
                  <c:v>-7</c:v>
                </c:pt>
                <c:pt idx="36">
                  <c:v>-7</c:v>
                </c:pt>
                <c:pt idx="37">
                  <c:v>-10</c:v>
                </c:pt>
                <c:pt idx="38">
                  <c:v>-7</c:v>
                </c:pt>
                <c:pt idx="39">
                  <c:v>-7</c:v>
                </c:pt>
                <c:pt idx="40">
                  <c:v>-8</c:v>
                </c:pt>
                <c:pt idx="41">
                  <c:v>-7</c:v>
                </c:pt>
                <c:pt idx="42">
                  <c:v>-7</c:v>
                </c:pt>
                <c:pt idx="43">
                  <c:v>-8</c:v>
                </c:pt>
                <c:pt idx="44">
                  <c:v>-7</c:v>
                </c:pt>
                <c:pt idx="45">
                  <c:v>-9</c:v>
                </c:pt>
                <c:pt idx="46">
                  <c:v>-8</c:v>
                </c:pt>
                <c:pt idx="47">
                  <c:v>15</c:v>
                </c:pt>
                <c:pt idx="48">
                  <c:v>-7</c:v>
                </c:pt>
                <c:pt idx="49">
                  <c:v>11</c:v>
                </c:pt>
                <c:pt idx="50">
                  <c:v>-8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600</c:v>
                </c:pt>
                <c:pt idx="1">
                  <c:v>10</c:v>
                </c:pt>
                <c:pt idx="2">
                  <c:v>25</c:v>
                </c:pt>
                <c:pt idx="3">
                  <c:v>10</c:v>
                </c:pt>
                <c:pt idx="4">
                  <c:v>125</c:v>
                </c:pt>
                <c:pt idx="5">
                  <c:v>35</c:v>
                </c:pt>
                <c:pt idx="6">
                  <c:v>40</c:v>
                </c:pt>
                <c:pt idx="7">
                  <c:v>110</c:v>
                </c:pt>
                <c:pt idx="8">
                  <c:v>20</c:v>
                </c:pt>
                <c:pt idx="9">
                  <c:v>25</c:v>
                </c:pt>
                <c:pt idx="10">
                  <c:v>125</c:v>
                </c:pt>
                <c:pt idx="11">
                  <c:v>10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145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80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26032"/>
        <c:axId val="158622929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10</c:v>
                      </c:pt>
                      <c:pt idx="1">
                        <c:v>12</c:v>
                      </c:pt>
                      <c:pt idx="2">
                        <c:v>6</c:v>
                      </c:pt>
                      <c:pt idx="3">
                        <c:v>13</c:v>
                      </c:pt>
                      <c:pt idx="4">
                        <c:v>13</c:v>
                      </c:pt>
                      <c:pt idx="5">
                        <c:v>8</c:v>
                      </c:pt>
                      <c:pt idx="6">
                        <c:v>63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20</c:v>
                      </c:pt>
                      <c:pt idx="10">
                        <c:v>20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11</c:v>
                      </c:pt>
                      <c:pt idx="34">
                        <c:v>10</c:v>
                      </c:pt>
                      <c:pt idx="35">
                        <c:v>8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27</c:v>
                      </c:pt>
                      <c:pt idx="39">
                        <c:v>23</c:v>
                      </c:pt>
                      <c:pt idx="40">
                        <c:v>6</c:v>
                      </c:pt>
                      <c:pt idx="41">
                        <c:v>19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3</c:v>
                      </c:pt>
                      <c:pt idx="45">
                        <c:v>0</c:v>
                      </c:pt>
                      <c:pt idx="46">
                        <c:v>17</c:v>
                      </c:pt>
                      <c:pt idx="47">
                        <c:v>0</c:v>
                      </c:pt>
                      <c:pt idx="48">
                        <c:v>10</c:v>
                      </c:pt>
                      <c:pt idx="49">
                        <c:v>0</c:v>
                      </c:pt>
                      <c:pt idx="50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52.638349690338899</c:v>
                      </c:pt>
                      <c:pt idx="1">
                        <c:v>52.638285317318697</c:v>
                      </c:pt>
                      <c:pt idx="2">
                        <c:v>52.637781061993898</c:v>
                      </c:pt>
                      <c:pt idx="3">
                        <c:v>52.637802519667297</c:v>
                      </c:pt>
                      <c:pt idx="4">
                        <c:v>52.637802519667297</c:v>
                      </c:pt>
                      <c:pt idx="5">
                        <c:v>52.638650097766501</c:v>
                      </c:pt>
                      <c:pt idx="6">
                        <c:v>52.637974181054403</c:v>
                      </c:pt>
                      <c:pt idx="7">
                        <c:v>52.638489165216001</c:v>
                      </c:pt>
                      <c:pt idx="8">
                        <c:v>52.638360419175598</c:v>
                      </c:pt>
                      <c:pt idx="9">
                        <c:v>52.636858382037701</c:v>
                      </c:pt>
                      <c:pt idx="10">
                        <c:v>52.636858382037701</c:v>
                      </c:pt>
                      <c:pt idx="11">
                        <c:v>52.6360537192853</c:v>
                      </c:pt>
                      <c:pt idx="12">
                        <c:v>52.638371148012297</c:v>
                      </c:pt>
                      <c:pt idx="13">
                        <c:v>52.616505778819601</c:v>
                      </c:pt>
                      <c:pt idx="14">
                        <c:v>52.616505778819601</c:v>
                      </c:pt>
                      <c:pt idx="15">
                        <c:v>52.616505778819601</c:v>
                      </c:pt>
                      <c:pt idx="16">
                        <c:v>52.616505778819601</c:v>
                      </c:pt>
                      <c:pt idx="17">
                        <c:v>52.616548694166397</c:v>
                      </c:pt>
                      <c:pt idx="18">
                        <c:v>52.616537965329698</c:v>
                      </c:pt>
                      <c:pt idx="19">
                        <c:v>52.616537965329698</c:v>
                      </c:pt>
                      <c:pt idx="20">
                        <c:v>52.616484321146203</c:v>
                      </c:pt>
                      <c:pt idx="21">
                        <c:v>52.616537965329698</c:v>
                      </c:pt>
                      <c:pt idx="22">
                        <c:v>52.616548694166397</c:v>
                      </c:pt>
                      <c:pt idx="23">
                        <c:v>52.616505778819601</c:v>
                      </c:pt>
                      <c:pt idx="24">
                        <c:v>52.6165165076563</c:v>
                      </c:pt>
                      <c:pt idx="25">
                        <c:v>52.616484321146203</c:v>
                      </c:pt>
                      <c:pt idx="26">
                        <c:v>52.6165165076563</c:v>
                      </c:pt>
                      <c:pt idx="27">
                        <c:v>52.616441405799399</c:v>
                      </c:pt>
                      <c:pt idx="28">
                        <c:v>52.616473592309497</c:v>
                      </c:pt>
                      <c:pt idx="29">
                        <c:v>52.616505778819601</c:v>
                      </c:pt>
                      <c:pt idx="30">
                        <c:v>52.6165165076563</c:v>
                      </c:pt>
                      <c:pt idx="31">
                        <c:v>52.6165165076563</c:v>
                      </c:pt>
                      <c:pt idx="32">
                        <c:v>52.616570151839802</c:v>
                      </c:pt>
                      <c:pt idx="33">
                        <c:v>52.638328232665501</c:v>
                      </c:pt>
                      <c:pt idx="34">
                        <c:v>52.638392605685702</c:v>
                      </c:pt>
                      <c:pt idx="35">
                        <c:v>52.638349690338899</c:v>
                      </c:pt>
                      <c:pt idx="36">
                        <c:v>52.638328232665501</c:v>
                      </c:pt>
                      <c:pt idx="37">
                        <c:v>52.638328232665501</c:v>
                      </c:pt>
                      <c:pt idx="38">
                        <c:v>52.6382531308086</c:v>
                      </c:pt>
                      <c:pt idx="39">
                        <c:v>52.638317503828802</c:v>
                      </c:pt>
                      <c:pt idx="40">
                        <c:v>52.638360419175598</c:v>
                      </c:pt>
                      <c:pt idx="41">
                        <c:v>52.638360419175598</c:v>
                      </c:pt>
                      <c:pt idx="42">
                        <c:v>52.638328232665501</c:v>
                      </c:pt>
                      <c:pt idx="43">
                        <c:v>52.638349690338899</c:v>
                      </c:pt>
                      <c:pt idx="44">
                        <c:v>52.638263859645299</c:v>
                      </c:pt>
                      <c:pt idx="45">
                        <c:v>52.638360419175598</c:v>
                      </c:pt>
                      <c:pt idx="46">
                        <c:v>52.638285317318697</c:v>
                      </c:pt>
                      <c:pt idx="47">
                        <c:v>52.638403334522401</c:v>
                      </c:pt>
                      <c:pt idx="48">
                        <c:v>52.638360419175598</c:v>
                      </c:pt>
                      <c:pt idx="49">
                        <c:v>52.638392605685702</c:v>
                      </c:pt>
                      <c:pt idx="50">
                        <c:v>52.638317503828802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4.7495379894696104</c:v>
                      </c:pt>
                      <c:pt idx="1">
                        <c:v>4.7494092434292199</c:v>
                      </c:pt>
                      <c:pt idx="2">
                        <c:v>4.7499886006110001</c:v>
                      </c:pt>
                      <c:pt idx="3">
                        <c:v>4.7499671429375701</c:v>
                      </c:pt>
                      <c:pt idx="4">
                        <c:v>4.7499671429375701</c:v>
                      </c:pt>
                      <c:pt idx="5">
                        <c:v>4.7497311085302201</c:v>
                      </c:pt>
                      <c:pt idx="6">
                        <c:v>4.74992422759078</c:v>
                      </c:pt>
                      <c:pt idx="7">
                        <c:v>4.7500100582843698</c:v>
                      </c:pt>
                      <c:pt idx="8">
                        <c:v>4.7498169392238196</c:v>
                      </c:pt>
                      <c:pt idx="9">
                        <c:v>4.75093273824052</c:v>
                      </c:pt>
                      <c:pt idx="10">
                        <c:v>4.75093273824052</c:v>
                      </c:pt>
                      <c:pt idx="11">
                        <c:v>4.7505465001193503</c:v>
                      </c:pt>
                      <c:pt idx="12">
                        <c:v>4.7496023624898296</c:v>
                      </c:pt>
                      <c:pt idx="13">
                        <c:v>4.7449460473624097</c:v>
                      </c:pt>
                      <c:pt idx="14">
                        <c:v>4.7449460473624097</c:v>
                      </c:pt>
                      <c:pt idx="15">
                        <c:v>4.7449460473624097</c:v>
                      </c:pt>
                      <c:pt idx="16">
                        <c:v>4.7449460473624097</c:v>
                      </c:pt>
                      <c:pt idx="17">
                        <c:v>4.7449031320156196</c:v>
                      </c:pt>
                      <c:pt idx="18">
                        <c:v>4.7448816743422499</c:v>
                      </c:pt>
                      <c:pt idx="19">
                        <c:v>4.7448816743422499</c:v>
                      </c:pt>
                      <c:pt idx="20">
                        <c:v>4.7449031320156196</c:v>
                      </c:pt>
                      <c:pt idx="21">
                        <c:v>4.7448173013220298</c:v>
                      </c:pt>
                      <c:pt idx="22">
                        <c:v>4.7449031320156196</c:v>
                      </c:pt>
                      <c:pt idx="23">
                        <c:v>4.7448387589954502</c:v>
                      </c:pt>
                      <c:pt idx="24">
                        <c:v>4.7448387589954502</c:v>
                      </c:pt>
                      <c:pt idx="25">
                        <c:v>4.7449460473624097</c:v>
                      </c:pt>
                      <c:pt idx="26">
                        <c:v>4.7448816743422499</c:v>
                      </c:pt>
                      <c:pt idx="27">
                        <c:v>4.7448816743422499</c:v>
                      </c:pt>
                      <c:pt idx="28">
                        <c:v>4.7448387589954502</c:v>
                      </c:pt>
                      <c:pt idx="29">
                        <c:v>4.7448816743422499</c:v>
                      </c:pt>
                      <c:pt idx="30">
                        <c:v>4.74492458968904</c:v>
                      </c:pt>
                      <c:pt idx="31">
                        <c:v>4.7448602166688199</c:v>
                      </c:pt>
                      <c:pt idx="32">
                        <c:v>4.7449460473624097</c:v>
                      </c:pt>
                      <c:pt idx="33">
                        <c:v>4.7495594471430396</c:v>
                      </c:pt>
                      <c:pt idx="34">
                        <c:v>4.7496238201632002</c:v>
                      </c:pt>
                      <c:pt idx="35">
                        <c:v>4.7495809048164102</c:v>
                      </c:pt>
                      <c:pt idx="36">
                        <c:v>4.7496238201632002</c:v>
                      </c:pt>
                      <c:pt idx="37">
                        <c:v>4.7496023624898296</c:v>
                      </c:pt>
                      <c:pt idx="38">
                        <c:v>4.7494736164494498</c:v>
                      </c:pt>
                      <c:pt idx="39">
                        <c:v>4.7495809048164102</c:v>
                      </c:pt>
                      <c:pt idx="40">
                        <c:v>4.7495809048164102</c:v>
                      </c:pt>
                      <c:pt idx="41">
                        <c:v>4.7494950741228097</c:v>
                      </c:pt>
                      <c:pt idx="42">
                        <c:v>4.7495594471430396</c:v>
                      </c:pt>
                      <c:pt idx="43">
                        <c:v>4.7495594471430396</c:v>
                      </c:pt>
                      <c:pt idx="44">
                        <c:v>4.7495379894696104</c:v>
                      </c:pt>
                      <c:pt idx="45">
                        <c:v>4.7496023624898296</c:v>
                      </c:pt>
                      <c:pt idx="46">
                        <c:v>4.7495379894696104</c:v>
                      </c:pt>
                      <c:pt idx="47">
                        <c:v>4.7495809048164102</c:v>
                      </c:pt>
                      <c:pt idx="48">
                        <c:v>4.7494950741228097</c:v>
                      </c:pt>
                      <c:pt idx="49">
                        <c:v>4.7496238201632002</c:v>
                      </c:pt>
                      <c:pt idx="50">
                        <c:v>4.7494521587760197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2.2000000000000002</c:v>
                      </c:pt>
                      <c:pt idx="1">
                        <c:v>2.2000000000000002</c:v>
                      </c:pt>
                      <c:pt idx="2">
                        <c:v>2.1</c:v>
                      </c:pt>
                      <c:pt idx="3">
                        <c:v>2.1</c:v>
                      </c:pt>
                      <c:pt idx="4">
                        <c:v>2.1</c:v>
                      </c:pt>
                      <c:pt idx="5">
                        <c:v>3.9</c:v>
                      </c:pt>
                      <c:pt idx="6">
                        <c:v>3.6</c:v>
                      </c:pt>
                      <c:pt idx="7">
                        <c:v>3.6</c:v>
                      </c:pt>
                      <c:pt idx="8">
                        <c:v>2</c:v>
                      </c:pt>
                      <c:pt idx="9">
                        <c:v>3.3</c:v>
                      </c:pt>
                      <c:pt idx="10">
                        <c:v>3.3</c:v>
                      </c:pt>
                      <c:pt idx="11">
                        <c:v>2</c:v>
                      </c:pt>
                      <c:pt idx="12">
                        <c:v>2.2999999999999998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1.9</c:v>
                      </c:pt>
                      <c:pt idx="22">
                        <c:v>1.8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1.4</c:v>
                      </c:pt>
                      <c:pt idx="26">
                        <c:v>0.8</c:v>
                      </c:pt>
                      <c:pt idx="27">
                        <c:v>0.8</c:v>
                      </c:pt>
                      <c:pt idx="28">
                        <c:v>0.9</c:v>
                      </c:pt>
                      <c:pt idx="29">
                        <c:v>0.9</c:v>
                      </c:pt>
                      <c:pt idx="30">
                        <c:v>1</c:v>
                      </c:pt>
                      <c:pt idx="31">
                        <c:v>0.9</c:v>
                      </c:pt>
                      <c:pt idx="32">
                        <c:v>0.9</c:v>
                      </c:pt>
                      <c:pt idx="33">
                        <c:v>1.3</c:v>
                      </c:pt>
                      <c:pt idx="34">
                        <c:v>1</c:v>
                      </c:pt>
                      <c:pt idx="35">
                        <c:v>1.2</c:v>
                      </c:pt>
                      <c:pt idx="36">
                        <c:v>1</c:v>
                      </c:pt>
                      <c:pt idx="37">
                        <c:v>0.9</c:v>
                      </c:pt>
                      <c:pt idx="38">
                        <c:v>1.3</c:v>
                      </c:pt>
                      <c:pt idx="39">
                        <c:v>1.3</c:v>
                      </c:pt>
                      <c:pt idx="40">
                        <c:v>1.7</c:v>
                      </c:pt>
                      <c:pt idx="41">
                        <c:v>1.7</c:v>
                      </c:pt>
                      <c:pt idx="42">
                        <c:v>1</c:v>
                      </c:pt>
                      <c:pt idx="43">
                        <c:v>1.6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1.8</c:v>
                      </c:pt>
                      <c:pt idx="47">
                        <c:v>1.2</c:v>
                      </c:pt>
                      <c:pt idx="48">
                        <c:v>1.8</c:v>
                      </c:pt>
                      <c:pt idx="49">
                        <c:v>1.2</c:v>
                      </c:pt>
                      <c:pt idx="50">
                        <c:v>1.5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4.08</c:v>
                </c:pt>
                <c:pt idx="5">
                  <c:v>4.0599999999999996</c:v>
                </c:pt>
                <c:pt idx="6">
                  <c:v>4.08</c:v>
                </c:pt>
                <c:pt idx="7">
                  <c:v>4.0599999999999996</c:v>
                </c:pt>
                <c:pt idx="8">
                  <c:v>4.04</c:v>
                </c:pt>
                <c:pt idx="9">
                  <c:v>4.0599999999999996</c:v>
                </c:pt>
                <c:pt idx="10">
                  <c:v>4.04</c:v>
                </c:pt>
                <c:pt idx="11">
                  <c:v>4.04</c:v>
                </c:pt>
                <c:pt idx="12">
                  <c:v>4.04</c:v>
                </c:pt>
                <c:pt idx="13">
                  <c:v>4.08</c:v>
                </c:pt>
                <c:pt idx="14">
                  <c:v>4.2</c:v>
                </c:pt>
                <c:pt idx="15">
                  <c:v>4.22</c:v>
                </c:pt>
                <c:pt idx="16">
                  <c:v>4.22</c:v>
                </c:pt>
                <c:pt idx="17">
                  <c:v>4.2</c:v>
                </c:pt>
                <c:pt idx="18">
                  <c:v>4.2</c:v>
                </c:pt>
                <c:pt idx="19">
                  <c:v>4.18</c:v>
                </c:pt>
                <c:pt idx="20">
                  <c:v>4.16</c:v>
                </c:pt>
                <c:pt idx="21">
                  <c:v>4.16</c:v>
                </c:pt>
                <c:pt idx="22">
                  <c:v>4.1399999999999997</c:v>
                </c:pt>
                <c:pt idx="23">
                  <c:v>4.12</c:v>
                </c:pt>
                <c:pt idx="24">
                  <c:v>4.0999999999999996</c:v>
                </c:pt>
                <c:pt idx="25">
                  <c:v>4.08</c:v>
                </c:pt>
                <c:pt idx="26">
                  <c:v>4.08</c:v>
                </c:pt>
                <c:pt idx="27">
                  <c:v>4.08</c:v>
                </c:pt>
                <c:pt idx="28">
                  <c:v>4.0599999999999996</c:v>
                </c:pt>
                <c:pt idx="29">
                  <c:v>4.0599999999999996</c:v>
                </c:pt>
                <c:pt idx="30">
                  <c:v>4.04</c:v>
                </c:pt>
                <c:pt idx="31">
                  <c:v>4.04</c:v>
                </c:pt>
                <c:pt idx="32">
                  <c:v>4.04</c:v>
                </c:pt>
                <c:pt idx="33">
                  <c:v>3.9</c:v>
                </c:pt>
                <c:pt idx="34">
                  <c:v>3.9</c:v>
                </c:pt>
                <c:pt idx="35">
                  <c:v>3.9</c:v>
                </c:pt>
                <c:pt idx="36">
                  <c:v>3.88</c:v>
                </c:pt>
                <c:pt idx="37">
                  <c:v>3.88</c:v>
                </c:pt>
                <c:pt idx="38">
                  <c:v>3.88</c:v>
                </c:pt>
                <c:pt idx="39">
                  <c:v>3.88</c:v>
                </c:pt>
                <c:pt idx="40">
                  <c:v>3.88</c:v>
                </c:pt>
                <c:pt idx="41">
                  <c:v>3.88</c:v>
                </c:pt>
                <c:pt idx="42">
                  <c:v>3.88</c:v>
                </c:pt>
                <c:pt idx="43">
                  <c:v>3.88</c:v>
                </c:pt>
                <c:pt idx="44">
                  <c:v>3.88</c:v>
                </c:pt>
                <c:pt idx="45">
                  <c:v>3.88</c:v>
                </c:pt>
                <c:pt idx="46">
                  <c:v>3.88</c:v>
                </c:pt>
                <c:pt idx="47">
                  <c:v>4.28</c:v>
                </c:pt>
                <c:pt idx="48">
                  <c:v>3.86</c:v>
                </c:pt>
                <c:pt idx="49">
                  <c:v>4.28</c:v>
                </c:pt>
                <c:pt idx="50">
                  <c:v>3.86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20048"/>
        <c:axId val="1586230384"/>
      </c:scatterChart>
      <c:valAx>
        <c:axId val="1586226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86229296"/>
        <c:crosses val="autoZero"/>
        <c:crossBetween val="midCat"/>
        <c:majorUnit val="0.25"/>
        <c:minorUnit val="4.1666667000000018E-2"/>
      </c:valAx>
      <c:valAx>
        <c:axId val="1586229296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86226032"/>
        <c:crosses val="autoZero"/>
        <c:crossBetween val="midCat"/>
        <c:majorUnit val="50"/>
      </c:valAx>
      <c:valAx>
        <c:axId val="158623038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86220048"/>
        <c:crosses val="max"/>
        <c:crossBetween val="midCat"/>
        <c:majorUnit val="0.25"/>
      </c:valAx>
      <c:valAx>
        <c:axId val="1586220048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586230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52.638349690338899</c:v>
                </c:pt>
                <c:pt idx="1">
                  <c:v>52.638285317318697</c:v>
                </c:pt>
                <c:pt idx="2">
                  <c:v>52.637781061993898</c:v>
                </c:pt>
                <c:pt idx="3">
                  <c:v>52.637802519667297</c:v>
                </c:pt>
                <c:pt idx="4">
                  <c:v>52.637802519667297</c:v>
                </c:pt>
                <c:pt idx="5">
                  <c:v>52.638650097766501</c:v>
                </c:pt>
                <c:pt idx="6">
                  <c:v>52.637974181054403</c:v>
                </c:pt>
                <c:pt idx="7">
                  <c:v>52.638489165216001</c:v>
                </c:pt>
                <c:pt idx="8">
                  <c:v>52.638360419175598</c:v>
                </c:pt>
                <c:pt idx="9">
                  <c:v>52.636858382037701</c:v>
                </c:pt>
                <c:pt idx="10">
                  <c:v>52.636858382037701</c:v>
                </c:pt>
                <c:pt idx="11">
                  <c:v>52.6360537192853</c:v>
                </c:pt>
                <c:pt idx="12">
                  <c:v>52.638371148012297</c:v>
                </c:pt>
                <c:pt idx="13">
                  <c:v>52.616505778819601</c:v>
                </c:pt>
                <c:pt idx="14">
                  <c:v>52.616505778819601</c:v>
                </c:pt>
                <c:pt idx="15">
                  <c:v>52.616505778819601</c:v>
                </c:pt>
                <c:pt idx="16">
                  <c:v>52.616505778819601</c:v>
                </c:pt>
                <c:pt idx="17">
                  <c:v>52.616548694166397</c:v>
                </c:pt>
                <c:pt idx="18">
                  <c:v>52.616537965329698</c:v>
                </c:pt>
                <c:pt idx="19">
                  <c:v>52.616537965329698</c:v>
                </c:pt>
                <c:pt idx="20">
                  <c:v>52.616484321146203</c:v>
                </c:pt>
                <c:pt idx="21">
                  <c:v>52.616537965329698</c:v>
                </c:pt>
                <c:pt idx="22">
                  <c:v>52.616548694166397</c:v>
                </c:pt>
                <c:pt idx="23">
                  <c:v>52.616505778819601</c:v>
                </c:pt>
                <c:pt idx="24">
                  <c:v>52.6165165076563</c:v>
                </c:pt>
                <c:pt idx="25">
                  <c:v>52.616484321146203</c:v>
                </c:pt>
                <c:pt idx="26">
                  <c:v>52.6165165076563</c:v>
                </c:pt>
                <c:pt idx="27">
                  <c:v>52.616441405799399</c:v>
                </c:pt>
                <c:pt idx="28">
                  <c:v>52.616473592309497</c:v>
                </c:pt>
                <c:pt idx="29">
                  <c:v>52.616505778819601</c:v>
                </c:pt>
                <c:pt idx="30">
                  <c:v>52.6165165076563</c:v>
                </c:pt>
                <c:pt idx="31">
                  <c:v>52.6165165076563</c:v>
                </c:pt>
                <c:pt idx="32">
                  <c:v>52.616570151839802</c:v>
                </c:pt>
                <c:pt idx="33">
                  <c:v>52.638328232665501</c:v>
                </c:pt>
                <c:pt idx="34">
                  <c:v>52.638392605685702</c:v>
                </c:pt>
                <c:pt idx="35">
                  <c:v>52.638349690338899</c:v>
                </c:pt>
                <c:pt idx="36">
                  <c:v>52.638328232665501</c:v>
                </c:pt>
                <c:pt idx="37">
                  <c:v>52.638328232665501</c:v>
                </c:pt>
                <c:pt idx="38">
                  <c:v>52.6382531308086</c:v>
                </c:pt>
                <c:pt idx="39">
                  <c:v>52.638317503828802</c:v>
                </c:pt>
                <c:pt idx="40">
                  <c:v>52.638360419175598</c:v>
                </c:pt>
                <c:pt idx="41">
                  <c:v>52.638360419175598</c:v>
                </c:pt>
                <c:pt idx="42">
                  <c:v>52.638328232665501</c:v>
                </c:pt>
                <c:pt idx="43">
                  <c:v>52.638349690338899</c:v>
                </c:pt>
                <c:pt idx="44">
                  <c:v>52.638263859645299</c:v>
                </c:pt>
                <c:pt idx="45">
                  <c:v>52.638360419175598</c:v>
                </c:pt>
                <c:pt idx="46">
                  <c:v>52.638285317318697</c:v>
                </c:pt>
                <c:pt idx="47">
                  <c:v>52.638403334522401</c:v>
                </c:pt>
                <c:pt idx="48">
                  <c:v>52.638360419175598</c:v>
                </c:pt>
                <c:pt idx="49">
                  <c:v>52.638392605685702</c:v>
                </c:pt>
                <c:pt idx="50">
                  <c:v>52.638317503828802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4.7495379894696104</c:v>
                </c:pt>
                <c:pt idx="1">
                  <c:v>4.7494092434292199</c:v>
                </c:pt>
                <c:pt idx="2">
                  <c:v>4.7499886006110001</c:v>
                </c:pt>
                <c:pt idx="3">
                  <c:v>4.7499671429375701</c:v>
                </c:pt>
                <c:pt idx="4">
                  <c:v>4.7499671429375701</c:v>
                </c:pt>
                <c:pt idx="5">
                  <c:v>4.7497311085302201</c:v>
                </c:pt>
                <c:pt idx="6">
                  <c:v>4.74992422759078</c:v>
                </c:pt>
                <c:pt idx="7">
                  <c:v>4.7500100582843698</c:v>
                </c:pt>
                <c:pt idx="8">
                  <c:v>4.7498169392238196</c:v>
                </c:pt>
                <c:pt idx="9">
                  <c:v>4.75093273824052</c:v>
                </c:pt>
                <c:pt idx="10">
                  <c:v>4.75093273824052</c:v>
                </c:pt>
                <c:pt idx="11">
                  <c:v>4.7505465001193503</c:v>
                </c:pt>
                <c:pt idx="12">
                  <c:v>4.7496023624898296</c:v>
                </c:pt>
                <c:pt idx="13">
                  <c:v>4.7449460473624097</c:v>
                </c:pt>
                <c:pt idx="14">
                  <c:v>4.7449460473624097</c:v>
                </c:pt>
                <c:pt idx="15">
                  <c:v>4.7449460473624097</c:v>
                </c:pt>
                <c:pt idx="16">
                  <c:v>4.7449460473624097</c:v>
                </c:pt>
                <c:pt idx="17">
                  <c:v>4.7449031320156196</c:v>
                </c:pt>
                <c:pt idx="18">
                  <c:v>4.7448816743422499</c:v>
                </c:pt>
                <c:pt idx="19">
                  <c:v>4.7448816743422499</c:v>
                </c:pt>
                <c:pt idx="20">
                  <c:v>4.7449031320156196</c:v>
                </c:pt>
                <c:pt idx="21">
                  <c:v>4.7448173013220298</c:v>
                </c:pt>
                <c:pt idx="22">
                  <c:v>4.7449031320156196</c:v>
                </c:pt>
                <c:pt idx="23">
                  <c:v>4.7448387589954502</c:v>
                </c:pt>
                <c:pt idx="24">
                  <c:v>4.7448387589954502</c:v>
                </c:pt>
                <c:pt idx="25">
                  <c:v>4.7449460473624097</c:v>
                </c:pt>
                <c:pt idx="26">
                  <c:v>4.7448816743422499</c:v>
                </c:pt>
                <c:pt idx="27">
                  <c:v>4.7448816743422499</c:v>
                </c:pt>
                <c:pt idx="28">
                  <c:v>4.7448387589954502</c:v>
                </c:pt>
                <c:pt idx="29">
                  <c:v>4.7448816743422499</c:v>
                </c:pt>
                <c:pt idx="30">
                  <c:v>4.74492458968904</c:v>
                </c:pt>
                <c:pt idx="31">
                  <c:v>4.7448602166688199</c:v>
                </c:pt>
                <c:pt idx="32">
                  <c:v>4.7449460473624097</c:v>
                </c:pt>
                <c:pt idx="33">
                  <c:v>4.7495594471430396</c:v>
                </c:pt>
                <c:pt idx="34">
                  <c:v>4.7496238201632002</c:v>
                </c:pt>
                <c:pt idx="35">
                  <c:v>4.7495809048164102</c:v>
                </c:pt>
                <c:pt idx="36">
                  <c:v>4.7496238201632002</c:v>
                </c:pt>
                <c:pt idx="37">
                  <c:v>4.7496023624898296</c:v>
                </c:pt>
                <c:pt idx="38">
                  <c:v>4.7494736164494498</c:v>
                </c:pt>
                <c:pt idx="39">
                  <c:v>4.7495809048164102</c:v>
                </c:pt>
                <c:pt idx="40">
                  <c:v>4.7495809048164102</c:v>
                </c:pt>
                <c:pt idx="41">
                  <c:v>4.7494950741228097</c:v>
                </c:pt>
                <c:pt idx="42">
                  <c:v>4.7495594471430396</c:v>
                </c:pt>
                <c:pt idx="43">
                  <c:v>4.7495594471430396</c:v>
                </c:pt>
                <c:pt idx="44">
                  <c:v>4.7495379894696104</c:v>
                </c:pt>
                <c:pt idx="45">
                  <c:v>4.7496023624898296</c:v>
                </c:pt>
                <c:pt idx="46">
                  <c:v>4.7495379894696104</c:v>
                </c:pt>
                <c:pt idx="47">
                  <c:v>4.7495809048164102</c:v>
                </c:pt>
                <c:pt idx="48">
                  <c:v>4.7494950741228097</c:v>
                </c:pt>
                <c:pt idx="49">
                  <c:v>4.7496238201632002</c:v>
                </c:pt>
                <c:pt idx="50">
                  <c:v>4.7494521587760197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27120"/>
        <c:axId val="158623092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23</c:v>
                      </c:pt>
                      <c:pt idx="1">
                        <c:v>22</c:v>
                      </c:pt>
                      <c:pt idx="2">
                        <c:v>20</c:v>
                      </c:pt>
                      <c:pt idx="3">
                        <c:v>17</c:v>
                      </c:pt>
                      <c:pt idx="4">
                        <c:v>21</c:v>
                      </c:pt>
                      <c:pt idx="5">
                        <c:v>21</c:v>
                      </c:pt>
                      <c:pt idx="6">
                        <c:v>23</c:v>
                      </c:pt>
                      <c:pt idx="7">
                        <c:v>24</c:v>
                      </c:pt>
                      <c:pt idx="8">
                        <c:v>25</c:v>
                      </c:pt>
                      <c:pt idx="9">
                        <c:v>24</c:v>
                      </c:pt>
                      <c:pt idx="10">
                        <c:v>24</c:v>
                      </c:pt>
                      <c:pt idx="11">
                        <c:v>24</c:v>
                      </c:pt>
                      <c:pt idx="12">
                        <c:v>24</c:v>
                      </c:pt>
                      <c:pt idx="13">
                        <c:v>24</c:v>
                      </c:pt>
                      <c:pt idx="14">
                        <c:v>24</c:v>
                      </c:pt>
                      <c:pt idx="15">
                        <c:v>24</c:v>
                      </c:pt>
                      <c:pt idx="16">
                        <c:v>24</c:v>
                      </c:pt>
                      <c:pt idx="17">
                        <c:v>24</c:v>
                      </c:pt>
                      <c:pt idx="18">
                        <c:v>22</c:v>
                      </c:pt>
                      <c:pt idx="19">
                        <c:v>22</c:v>
                      </c:pt>
                      <c:pt idx="20">
                        <c:v>22</c:v>
                      </c:pt>
                      <c:pt idx="21">
                        <c:v>22</c:v>
                      </c:pt>
                      <c:pt idx="22">
                        <c:v>22</c:v>
                      </c:pt>
                      <c:pt idx="23">
                        <c:v>22</c:v>
                      </c:pt>
                      <c:pt idx="24">
                        <c:v>22</c:v>
                      </c:pt>
                      <c:pt idx="25">
                        <c:v>21</c:v>
                      </c:pt>
                      <c:pt idx="26">
                        <c:v>21</c:v>
                      </c:pt>
                      <c:pt idx="27">
                        <c:v>21</c:v>
                      </c:pt>
                      <c:pt idx="28">
                        <c:v>21</c:v>
                      </c:pt>
                      <c:pt idx="29">
                        <c:v>21</c:v>
                      </c:pt>
                      <c:pt idx="30">
                        <c:v>21</c:v>
                      </c:pt>
                      <c:pt idx="31">
                        <c:v>21</c:v>
                      </c:pt>
                      <c:pt idx="32">
                        <c:v>21</c:v>
                      </c:pt>
                      <c:pt idx="33">
                        <c:v>-2</c:v>
                      </c:pt>
                      <c:pt idx="34">
                        <c:v>-6</c:v>
                      </c:pt>
                      <c:pt idx="35">
                        <c:v>-7</c:v>
                      </c:pt>
                      <c:pt idx="36">
                        <c:v>-7</c:v>
                      </c:pt>
                      <c:pt idx="37">
                        <c:v>-10</c:v>
                      </c:pt>
                      <c:pt idx="38">
                        <c:v>-7</c:v>
                      </c:pt>
                      <c:pt idx="39">
                        <c:v>-7</c:v>
                      </c:pt>
                      <c:pt idx="40">
                        <c:v>-8</c:v>
                      </c:pt>
                      <c:pt idx="41">
                        <c:v>-7</c:v>
                      </c:pt>
                      <c:pt idx="42">
                        <c:v>-7</c:v>
                      </c:pt>
                      <c:pt idx="43">
                        <c:v>-8</c:v>
                      </c:pt>
                      <c:pt idx="44">
                        <c:v>-7</c:v>
                      </c:pt>
                      <c:pt idx="45">
                        <c:v>-9</c:v>
                      </c:pt>
                      <c:pt idx="46">
                        <c:v>-8</c:v>
                      </c:pt>
                      <c:pt idx="47">
                        <c:v>15</c:v>
                      </c:pt>
                      <c:pt idx="48">
                        <c:v>-7</c:v>
                      </c:pt>
                      <c:pt idx="49">
                        <c:v>11</c:v>
                      </c:pt>
                      <c:pt idx="50">
                        <c:v>-8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600</c:v>
                      </c:pt>
                      <c:pt idx="1">
                        <c:v>10</c:v>
                      </c:pt>
                      <c:pt idx="2">
                        <c:v>25</c:v>
                      </c:pt>
                      <c:pt idx="3">
                        <c:v>10</c:v>
                      </c:pt>
                      <c:pt idx="4">
                        <c:v>125</c:v>
                      </c:pt>
                      <c:pt idx="5">
                        <c:v>35</c:v>
                      </c:pt>
                      <c:pt idx="6">
                        <c:v>40</c:v>
                      </c:pt>
                      <c:pt idx="7">
                        <c:v>110</c:v>
                      </c:pt>
                      <c:pt idx="8">
                        <c:v>20</c:v>
                      </c:pt>
                      <c:pt idx="9">
                        <c:v>25</c:v>
                      </c:pt>
                      <c:pt idx="10">
                        <c:v>125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145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80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10</c:v>
                </c:pt>
                <c:pt idx="1">
                  <c:v>12</c:v>
                </c:pt>
                <c:pt idx="2">
                  <c:v>6</c:v>
                </c:pt>
                <c:pt idx="3">
                  <c:v>13</c:v>
                </c:pt>
                <c:pt idx="4">
                  <c:v>13</c:v>
                </c:pt>
                <c:pt idx="5">
                  <c:v>8</c:v>
                </c:pt>
                <c:pt idx="6">
                  <c:v>63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11</c:v>
                </c:pt>
                <c:pt idx="34">
                  <c:v>10</c:v>
                </c:pt>
                <c:pt idx="35">
                  <c:v>8</c:v>
                </c:pt>
                <c:pt idx="36">
                  <c:v>0</c:v>
                </c:pt>
                <c:pt idx="37">
                  <c:v>0</c:v>
                </c:pt>
                <c:pt idx="38">
                  <c:v>27</c:v>
                </c:pt>
                <c:pt idx="39">
                  <c:v>23</c:v>
                </c:pt>
                <c:pt idx="40">
                  <c:v>6</c:v>
                </c:pt>
                <c:pt idx="41">
                  <c:v>19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0</c:v>
                </c:pt>
                <c:pt idx="46">
                  <c:v>17</c:v>
                </c:pt>
                <c:pt idx="47">
                  <c:v>0</c:v>
                </c:pt>
                <c:pt idx="48">
                  <c:v>10</c:v>
                </c:pt>
                <c:pt idx="49">
                  <c:v>0</c:v>
                </c:pt>
                <c:pt idx="50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42817.572581018518</c:v>
                </c:pt>
                <c:pt idx="1">
                  <c:v>42817.573969907404</c:v>
                </c:pt>
                <c:pt idx="2">
                  <c:v>42817.575543981482</c:v>
                </c:pt>
                <c:pt idx="3">
                  <c:v>42817.576770833337</c:v>
                </c:pt>
                <c:pt idx="4">
                  <c:v>42817.581018518518</c:v>
                </c:pt>
                <c:pt idx="5">
                  <c:v>42817.581516203703</c:v>
                </c:pt>
                <c:pt idx="6">
                  <c:v>42817.582974537036</c:v>
                </c:pt>
                <c:pt idx="7">
                  <c:v>42817.585185185184</c:v>
                </c:pt>
                <c:pt idx="8">
                  <c:v>42817.586956018517</c:v>
                </c:pt>
                <c:pt idx="9">
                  <c:v>42817.588402777779</c:v>
                </c:pt>
                <c:pt idx="10">
                  <c:v>42817.594027777777</c:v>
                </c:pt>
                <c:pt idx="11">
                  <c:v>42817.594224537039</c:v>
                </c:pt>
                <c:pt idx="12">
                  <c:v>42817.595625000002</c:v>
                </c:pt>
                <c:pt idx="13">
                  <c:v>42818.5934837963</c:v>
                </c:pt>
                <c:pt idx="14">
                  <c:v>42818.599270833336</c:v>
                </c:pt>
                <c:pt idx="15">
                  <c:v>42818.600798611114</c:v>
                </c:pt>
                <c:pt idx="16">
                  <c:v>42818.603854166664</c:v>
                </c:pt>
                <c:pt idx="17">
                  <c:v>42818.608553240738</c:v>
                </c:pt>
                <c:pt idx="18">
                  <c:v>42818.612974537034</c:v>
                </c:pt>
                <c:pt idx="19">
                  <c:v>42818.615312499998</c:v>
                </c:pt>
                <c:pt idx="20">
                  <c:v>42818.620173611111</c:v>
                </c:pt>
                <c:pt idx="21">
                  <c:v>42818.624606481484</c:v>
                </c:pt>
                <c:pt idx="22">
                  <c:v>42818.628634259258</c:v>
                </c:pt>
                <c:pt idx="23">
                  <c:v>42818.636273148149</c:v>
                </c:pt>
                <c:pt idx="24">
                  <c:v>42818.637384259258</c:v>
                </c:pt>
                <c:pt idx="25">
                  <c:v>42818.642858796295</c:v>
                </c:pt>
                <c:pt idx="26">
                  <c:v>42818.645254629628</c:v>
                </c:pt>
                <c:pt idx="27">
                  <c:v>42818.652708333335</c:v>
                </c:pt>
                <c:pt idx="28">
                  <c:v>42818.653599537036</c:v>
                </c:pt>
                <c:pt idx="29">
                  <c:v>42818.659143518518</c:v>
                </c:pt>
                <c:pt idx="30">
                  <c:v>42818.662118055552</c:v>
                </c:pt>
                <c:pt idx="31">
                  <c:v>42818.664803240739</c:v>
                </c:pt>
                <c:pt idx="32">
                  <c:v>42818.670983796299</c:v>
                </c:pt>
                <c:pt idx="33">
                  <c:v>42819.656134259261</c:v>
                </c:pt>
                <c:pt idx="34">
                  <c:v>42819.657523148147</c:v>
                </c:pt>
                <c:pt idx="35">
                  <c:v>42819.65892361111</c:v>
                </c:pt>
                <c:pt idx="36">
                  <c:v>42819.660312499997</c:v>
                </c:pt>
                <c:pt idx="37">
                  <c:v>42819.661712962959</c:v>
                </c:pt>
                <c:pt idx="38">
                  <c:v>42819.663113425922</c:v>
                </c:pt>
                <c:pt idx="39">
                  <c:v>42819.664513888885</c:v>
                </c:pt>
                <c:pt idx="40">
                  <c:v>42819.665914351855</c:v>
                </c:pt>
                <c:pt idx="41">
                  <c:v>42819.667314814818</c:v>
                </c:pt>
                <c:pt idx="42">
                  <c:v>42819.670115740744</c:v>
                </c:pt>
                <c:pt idx="43">
                  <c:v>42819.671516203707</c:v>
                </c:pt>
                <c:pt idx="44">
                  <c:v>42819.67291666667</c:v>
                </c:pt>
                <c:pt idx="45">
                  <c:v>42819.674305555556</c:v>
                </c:pt>
                <c:pt idx="46">
                  <c:v>42819.675706018519</c:v>
                </c:pt>
                <c:pt idx="47">
                  <c:v>42819.676863425928</c:v>
                </c:pt>
                <c:pt idx="48">
                  <c:v>42819.677106481482</c:v>
                </c:pt>
                <c:pt idx="49">
                  <c:v>42819.678263888891</c:v>
                </c:pt>
                <c:pt idx="50">
                  <c:v>42819.678506944445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2.2000000000000002</c:v>
                </c:pt>
                <c:pt idx="1">
                  <c:v>2.2000000000000002</c:v>
                </c:pt>
                <c:pt idx="2">
                  <c:v>2.1</c:v>
                </c:pt>
                <c:pt idx="3">
                  <c:v>2.1</c:v>
                </c:pt>
                <c:pt idx="4">
                  <c:v>2.1</c:v>
                </c:pt>
                <c:pt idx="5">
                  <c:v>3.9</c:v>
                </c:pt>
                <c:pt idx="6">
                  <c:v>3.6</c:v>
                </c:pt>
                <c:pt idx="7">
                  <c:v>3.6</c:v>
                </c:pt>
                <c:pt idx="8">
                  <c:v>2</c:v>
                </c:pt>
                <c:pt idx="9">
                  <c:v>3.3</c:v>
                </c:pt>
                <c:pt idx="10">
                  <c:v>3.3</c:v>
                </c:pt>
                <c:pt idx="11">
                  <c:v>2</c:v>
                </c:pt>
                <c:pt idx="12">
                  <c:v>2.2999999999999998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1.9</c:v>
                </c:pt>
                <c:pt idx="22">
                  <c:v>1.8</c:v>
                </c:pt>
                <c:pt idx="23">
                  <c:v>1</c:v>
                </c:pt>
                <c:pt idx="24">
                  <c:v>1</c:v>
                </c:pt>
                <c:pt idx="25">
                  <c:v>1.4</c:v>
                </c:pt>
                <c:pt idx="26">
                  <c:v>0.8</c:v>
                </c:pt>
                <c:pt idx="27">
                  <c:v>0.8</c:v>
                </c:pt>
                <c:pt idx="28">
                  <c:v>0.9</c:v>
                </c:pt>
                <c:pt idx="29">
                  <c:v>0.9</c:v>
                </c:pt>
                <c:pt idx="30">
                  <c:v>1</c:v>
                </c:pt>
                <c:pt idx="31">
                  <c:v>0.9</c:v>
                </c:pt>
                <c:pt idx="32">
                  <c:v>0.9</c:v>
                </c:pt>
                <c:pt idx="33">
                  <c:v>1.3</c:v>
                </c:pt>
                <c:pt idx="34">
                  <c:v>1</c:v>
                </c:pt>
                <c:pt idx="35">
                  <c:v>1.2</c:v>
                </c:pt>
                <c:pt idx="36">
                  <c:v>1</c:v>
                </c:pt>
                <c:pt idx="37">
                  <c:v>0.9</c:v>
                </c:pt>
                <c:pt idx="38">
                  <c:v>1.3</c:v>
                </c:pt>
                <c:pt idx="39">
                  <c:v>1.3</c:v>
                </c:pt>
                <c:pt idx="40">
                  <c:v>1.7</c:v>
                </c:pt>
                <c:pt idx="41">
                  <c:v>1.7</c:v>
                </c:pt>
                <c:pt idx="42">
                  <c:v>1</c:v>
                </c:pt>
                <c:pt idx="43">
                  <c:v>1.6</c:v>
                </c:pt>
                <c:pt idx="44">
                  <c:v>1</c:v>
                </c:pt>
                <c:pt idx="45">
                  <c:v>1</c:v>
                </c:pt>
                <c:pt idx="46">
                  <c:v>1.8</c:v>
                </c:pt>
                <c:pt idx="47">
                  <c:v>1.2</c:v>
                </c:pt>
                <c:pt idx="48">
                  <c:v>1.8</c:v>
                </c:pt>
                <c:pt idx="49">
                  <c:v>1.2</c:v>
                </c:pt>
                <c:pt idx="50">
                  <c:v>1.5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26576"/>
        <c:axId val="158622766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42817.572581018518</c:v>
                      </c:pt>
                      <c:pt idx="1">
                        <c:v>42817.573969907404</c:v>
                      </c:pt>
                      <c:pt idx="2">
                        <c:v>42817.575543981482</c:v>
                      </c:pt>
                      <c:pt idx="3">
                        <c:v>42817.576770833337</c:v>
                      </c:pt>
                      <c:pt idx="4">
                        <c:v>42817.581018518518</c:v>
                      </c:pt>
                      <c:pt idx="5">
                        <c:v>42817.581516203703</c:v>
                      </c:pt>
                      <c:pt idx="6">
                        <c:v>42817.582974537036</c:v>
                      </c:pt>
                      <c:pt idx="7">
                        <c:v>42817.585185185184</c:v>
                      </c:pt>
                      <c:pt idx="8">
                        <c:v>42817.586956018517</c:v>
                      </c:pt>
                      <c:pt idx="9">
                        <c:v>42817.588402777779</c:v>
                      </c:pt>
                      <c:pt idx="10">
                        <c:v>42817.594027777777</c:v>
                      </c:pt>
                      <c:pt idx="11">
                        <c:v>42817.594224537039</c:v>
                      </c:pt>
                      <c:pt idx="12">
                        <c:v>42817.595625000002</c:v>
                      </c:pt>
                      <c:pt idx="13">
                        <c:v>42818.5934837963</c:v>
                      </c:pt>
                      <c:pt idx="14">
                        <c:v>42818.599270833336</c:v>
                      </c:pt>
                      <c:pt idx="15">
                        <c:v>42818.600798611114</c:v>
                      </c:pt>
                      <c:pt idx="16">
                        <c:v>42818.603854166664</c:v>
                      </c:pt>
                      <c:pt idx="17">
                        <c:v>42818.608553240738</c:v>
                      </c:pt>
                      <c:pt idx="18">
                        <c:v>42818.612974537034</c:v>
                      </c:pt>
                      <c:pt idx="19">
                        <c:v>42818.615312499998</c:v>
                      </c:pt>
                      <c:pt idx="20">
                        <c:v>42818.620173611111</c:v>
                      </c:pt>
                      <c:pt idx="21">
                        <c:v>42818.624606481484</c:v>
                      </c:pt>
                      <c:pt idx="22">
                        <c:v>42818.628634259258</c:v>
                      </c:pt>
                      <c:pt idx="23">
                        <c:v>42818.636273148149</c:v>
                      </c:pt>
                      <c:pt idx="24">
                        <c:v>42818.637384259258</c:v>
                      </c:pt>
                      <c:pt idx="25">
                        <c:v>42818.642858796295</c:v>
                      </c:pt>
                      <c:pt idx="26">
                        <c:v>42818.645254629628</c:v>
                      </c:pt>
                      <c:pt idx="27">
                        <c:v>42818.652708333335</c:v>
                      </c:pt>
                      <c:pt idx="28">
                        <c:v>42818.653599537036</c:v>
                      </c:pt>
                      <c:pt idx="29">
                        <c:v>42818.659143518518</c:v>
                      </c:pt>
                      <c:pt idx="30">
                        <c:v>42818.662118055552</c:v>
                      </c:pt>
                      <c:pt idx="31">
                        <c:v>42818.664803240739</c:v>
                      </c:pt>
                      <c:pt idx="32">
                        <c:v>42818.670983796299</c:v>
                      </c:pt>
                      <c:pt idx="33">
                        <c:v>42819.656134259261</c:v>
                      </c:pt>
                      <c:pt idx="34">
                        <c:v>42819.657523148147</c:v>
                      </c:pt>
                      <c:pt idx="35">
                        <c:v>42819.65892361111</c:v>
                      </c:pt>
                      <c:pt idx="36">
                        <c:v>42819.660312499997</c:v>
                      </c:pt>
                      <c:pt idx="37">
                        <c:v>42819.661712962959</c:v>
                      </c:pt>
                      <c:pt idx="38">
                        <c:v>42819.663113425922</c:v>
                      </c:pt>
                      <c:pt idx="39">
                        <c:v>42819.664513888885</c:v>
                      </c:pt>
                      <c:pt idx="40">
                        <c:v>42819.665914351855</c:v>
                      </c:pt>
                      <c:pt idx="41">
                        <c:v>42819.667314814818</c:v>
                      </c:pt>
                      <c:pt idx="42">
                        <c:v>42819.670115740744</c:v>
                      </c:pt>
                      <c:pt idx="43">
                        <c:v>42819.671516203707</c:v>
                      </c:pt>
                      <c:pt idx="44">
                        <c:v>42819.67291666667</c:v>
                      </c:pt>
                      <c:pt idx="45">
                        <c:v>42819.674305555556</c:v>
                      </c:pt>
                      <c:pt idx="46">
                        <c:v>42819.675706018519</c:v>
                      </c:pt>
                      <c:pt idx="47">
                        <c:v>42819.676863425928</c:v>
                      </c:pt>
                      <c:pt idx="48">
                        <c:v>42819.677106481482</c:v>
                      </c:pt>
                      <c:pt idx="49">
                        <c:v>42819.678263888891</c:v>
                      </c:pt>
                      <c:pt idx="50">
                        <c:v>42819.678506944445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4.0999999999999996</c:v>
                      </c:pt>
                      <c:pt idx="1">
                        <c:v>4.0999999999999996</c:v>
                      </c:pt>
                      <c:pt idx="2">
                        <c:v>4.0999999999999996</c:v>
                      </c:pt>
                      <c:pt idx="3">
                        <c:v>4.0999999999999996</c:v>
                      </c:pt>
                      <c:pt idx="4">
                        <c:v>4.08</c:v>
                      </c:pt>
                      <c:pt idx="5">
                        <c:v>4.0599999999999996</c:v>
                      </c:pt>
                      <c:pt idx="6">
                        <c:v>4.08</c:v>
                      </c:pt>
                      <c:pt idx="7">
                        <c:v>4.0599999999999996</c:v>
                      </c:pt>
                      <c:pt idx="8">
                        <c:v>4.04</c:v>
                      </c:pt>
                      <c:pt idx="9">
                        <c:v>4.0599999999999996</c:v>
                      </c:pt>
                      <c:pt idx="10">
                        <c:v>4.04</c:v>
                      </c:pt>
                      <c:pt idx="11">
                        <c:v>4.04</c:v>
                      </c:pt>
                      <c:pt idx="12">
                        <c:v>4.04</c:v>
                      </c:pt>
                      <c:pt idx="13">
                        <c:v>4.08</c:v>
                      </c:pt>
                      <c:pt idx="14">
                        <c:v>4.2</c:v>
                      </c:pt>
                      <c:pt idx="15">
                        <c:v>4.22</c:v>
                      </c:pt>
                      <c:pt idx="16">
                        <c:v>4.22</c:v>
                      </c:pt>
                      <c:pt idx="17">
                        <c:v>4.2</c:v>
                      </c:pt>
                      <c:pt idx="18">
                        <c:v>4.2</c:v>
                      </c:pt>
                      <c:pt idx="19">
                        <c:v>4.18</c:v>
                      </c:pt>
                      <c:pt idx="20">
                        <c:v>4.16</c:v>
                      </c:pt>
                      <c:pt idx="21">
                        <c:v>4.16</c:v>
                      </c:pt>
                      <c:pt idx="22">
                        <c:v>4.1399999999999997</c:v>
                      </c:pt>
                      <c:pt idx="23">
                        <c:v>4.12</c:v>
                      </c:pt>
                      <c:pt idx="24">
                        <c:v>4.0999999999999996</c:v>
                      </c:pt>
                      <c:pt idx="25">
                        <c:v>4.08</c:v>
                      </c:pt>
                      <c:pt idx="26">
                        <c:v>4.08</c:v>
                      </c:pt>
                      <c:pt idx="27">
                        <c:v>4.08</c:v>
                      </c:pt>
                      <c:pt idx="28">
                        <c:v>4.0599999999999996</c:v>
                      </c:pt>
                      <c:pt idx="29">
                        <c:v>4.0599999999999996</c:v>
                      </c:pt>
                      <c:pt idx="30">
                        <c:v>4.04</c:v>
                      </c:pt>
                      <c:pt idx="31">
                        <c:v>4.04</c:v>
                      </c:pt>
                      <c:pt idx="32">
                        <c:v>4.04</c:v>
                      </c:pt>
                      <c:pt idx="33">
                        <c:v>3.9</c:v>
                      </c:pt>
                      <c:pt idx="34">
                        <c:v>3.9</c:v>
                      </c:pt>
                      <c:pt idx="35">
                        <c:v>3.9</c:v>
                      </c:pt>
                      <c:pt idx="36">
                        <c:v>3.88</c:v>
                      </c:pt>
                      <c:pt idx="37">
                        <c:v>3.88</c:v>
                      </c:pt>
                      <c:pt idx="38">
                        <c:v>3.88</c:v>
                      </c:pt>
                      <c:pt idx="39">
                        <c:v>3.88</c:v>
                      </c:pt>
                      <c:pt idx="40">
                        <c:v>3.88</c:v>
                      </c:pt>
                      <c:pt idx="41">
                        <c:v>3.88</c:v>
                      </c:pt>
                      <c:pt idx="42">
                        <c:v>3.88</c:v>
                      </c:pt>
                      <c:pt idx="43">
                        <c:v>3.88</c:v>
                      </c:pt>
                      <c:pt idx="44">
                        <c:v>3.88</c:v>
                      </c:pt>
                      <c:pt idx="45">
                        <c:v>3.88</c:v>
                      </c:pt>
                      <c:pt idx="46">
                        <c:v>3.88</c:v>
                      </c:pt>
                      <c:pt idx="47">
                        <c:v>4.28</c:v>
                      </c:pt>
                      <c:pt idx="48">
                        <c:v>3.86</c:v>
                      </c:pt>
                      <c:pt idx="49">
                        <c:v>4.28</c:v>
                      </c:pt>
                      <c:pt idx="50">
                        <c:v>3.86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58622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86230928"/>
        <c:crossesAt val="-5"/>
        <c:crossBetween val="midCat"/>
        <c:majorUnit val="0.25"/>
        <c:minorUnit val="4.1666667000000018E-2"/>
      </c:valAx>
      <c:valAx>
        <c:axId val="1586230928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86227120"/>
        <c:crosses val="autoZero"/>
        <c:crossBetween val="midCat"/>
      </c:valAx>
      <c:valAx>
        <c:axId val="15862276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586226576"/>
        <c:crosses val="max"/>
        <c:crossBetween val="midCat"/>
      </c:valAx>
      <c:valAx>
        <c:axId val="158622657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586227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9" sqref="C9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4</v>
      </c>
    </row>
    <row r="7" spans="1:4" x14ac:dyDescent="0.3">
      <c r="B7" s="2"/>
      <c r="C7" s="3"/>
    </row>
    <row r="8" spans="1:4" x14ac:dyDescent="0.3">
      <c r="B8" s="2" t="s">
        <v>10</v>
      </c>
      <c r="C8" s="3" t="s">
        <v>125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https://dennizr.data.thethingsnetwork.org/api/v2/query?last=7d</v>
      </c>
    </row>
    <row r="10" spans="1:4" x14ac:dyDescent="0.3">
      <c r="A10" s="1" t="s">
        <v>5</v>
      </c>
    </row>
    <row r="13" spans="1:4" x14ac:dyDescent="0.3">
      <c r="C13" s="17">
        <f>MIN(data!B:B)</f>
        <v>42817.572581018518</v>
      </c>
      <c r="D13" s="15" t="s">
        <v>24</v>
      </c>
    </row>
    <row r="14" spans="1:4" x14ac:dyDescent="0.3">
      <c r="C14" s="17">
        <f>MAX(data!B:B)</f>
        <v>42819.678506944445</v>
      </c>
      <c r="D14" s="15" t="s">
        <v>23</v>
      </c>
    </row>
    <row r="17" spans="2:3" ht="199.95" customHeight="1" x14ac:dyDescent="0.3">
      <c r="B17" s="2" t="s">
        <v>7</v>
      </c>
      <c r="C17" s="4" t="s">
        <v>163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52"/>
  <sheetViews>
    <sheetView tabSelected="1" workbookViewId="0">
      <pane ySplit="1" topLeftCell="A35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32.5546875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8</v>
      </c>
      <c r="B1" s="18" t="s">
        <v>12</v>
      </c>
      <c r="C1" s="6" t="s">
        <v>13</v>
      </c>
      <c r="D1" s="6" t="s">
        <v>14</v>
      </c>
      <c r="E1" s="7" t="s">
        <v>15</v>
      </c>
      <c r="F1" s="7" t="s">
        <v>16</v>
      </c>
      <c r="G1" s="8" t="s">
        <v>17</v>
      </c>
      <c r="H1" s="9" t="s">
        <v>18</v>
      </c>
      <c r="I1" s="9" t="s">
        <v>19</v>
      </c>
      <c r="J1" s="10" t="s">
        <v>20</v>
      </c>
      <c r="K1" s="11" t="s">
        <v>42</v>
      </c>
      <c r="L1" s="6" t="s">
        <v>11</v>
      </c>
    </row>
    <row r="2" spans="1:12" ht="13.95" customHeight="1" x14ac:dyDescent="0.3">
      <c r="A2" t="s">
        <v>126</v>
      </c>
      <c r="B2" s="13">
        <v>42817.572581018518</v>
      </c>
      <c r="C2" t="s">
        <v>9</v>
      </c>
      <c r="D2" t="s">
        <v>127</v>
      </c>
      <c r="E2">
        <v>52.638349690338899</v>
      </c>
      <c r="F2">
        <v>4.7495379894696104</v>
      </c>
      <c r="G2">
        <v>10</v>
      </c>
      <c r="H2">
        <v>2.2000000000000002</v>
      </c>
      <c r="I2">
        <v>4.0999999999999996</v>
      </c>
      <c r="J2">
        <v>23</v>
      </c>
      <c r="K2">
        <v>600</v>
      </c>
    </row>
    <row r="3" spans="1:12" ht="13.95" customHeight="1" x14ac:dyDescent="0.3">
      <c r="A3" t="s">
        <v>128</v>
      </c>
      <c r="B3" s="13">
        <v>42817.573969907404</v>
      </c>
      <c r="C3" t="s">
        <v>9</v>
      </c>
      <c r="D3" t="s">
        <v>129</v>
      </c>
      <c r="E3">
        <v>52.638285317318697</v>
      </c>
      <c r="F3">
        <v>4.7494092434292199</v>
      </c>
      <c r="G3">
        <v>12</v>
      </c>
      <c r="H3">
        <v>2.2000000000000002</v>
      </c>
      <c r="I3">
        <v>4.0999999999999996</v>
      </c>
      <c r="J3">
        <v>22</v>
      </c>
      <c r="K3">
        <v>10</v>
      </c>
    </row>
    <row r="4" spans="1:12" ht="13.95" customHeight="1" x14ac:dyDescent="0.3">
      <c r="A4" t="s">
        <v>130</v>
      </c>
      <c r="B4" s="13">
        <v>42817.575543981482</v>
      </c>
      <c r="C4" t="s">
        <v>9</v>
      </c>
      <c r="D4" t="s">
        <v>131</v>
      </c>
      <c r="E4">
        <v>52.637781061993898</v>
      </c>
      <c r="F4">
        <v>4.7499886006110001</v>
      </c>
      <c r="G4">
        <v>6</v>
      </c>
      <c r="H4">
        <v>2.1</v>
      </c>
      <c r="I4">
        <v>4.0999999999999996</v>
      </c>
      <c r="J4">
        <v>20</v>
      </c>
      <c r="K4">
        <v>25</v>
      </c>
    </row>
    <row r="5" spans="1:12" ht="13.95" customHeight="1" x14ac:dyDescent="0.3">
      <c r="A5" t="s">
        <v>132</v>
      </c>
      <c r="B5" s="13">
        <v>42817.576770833337</v>
      </c>
      <c r="C5" t="s">
        <v>9</v>
      </c>
      <c r="D5" t="s">
        <v>133</v>
      </c>
      <c r="E5">
        <v>52.637802519667297</v>
      </c>
      <c r="F5">
        <v>4.7499671429375701</v>
      </c>
      <c r="G5">
        <v>13</v>
      </c>
      <c r="H5">
        <v>2.1</v>
      </c>
      <c r="I5">
        <v>4.0999999999999996</v>
      </c>
      <c r="J5">
        <v>17</v>
      </c>
      <c r="K5">
        <v>10</v>
      </c>
    </row>
    <row r="6" spans="1:12" ht="13.95" customHeight="1" x14ac:dyDescent="0.3">
      <c r="A6" t="s">
        <v>134</v>
      </c>
      <c r="B6" s="13">
        <v>42817.581018518518</v>
      </c>
      <c r="C6" t="s">
        <v>9</v>
      </c>
      <c r="D6" t="s">
        <v>135</v>
      </c>
      <c r="E6">
        <v>52.637802519667297</v>
      </c>
      <c r="F6">
        <v>4.7499671429375701</v>
      </c>
      <c r="G6">
        <v>13</v>
      </c>
      <c r="H6">
        <v>2.1</v>
      </c>
      <c r="I6">
        <v>4.08</v>
      </c>
      <c r="J6">
        <v>21</v>
      </c>
      <c r="K6">
        <v>125</v>
      </c>
    </row>
    <row r="7" spans="1:12" ht="13.95" customHeight="1" x14ac:dyDescent="0.3">
      <c r="A7" t="s">
        <v>136</v>
      </c>
      <c r="B7" s="13">
        <v>42817.581516203703</v>
      </c>
      <c r="C7" t="s">
        <v>9</v>
      </c>
      <c r="D7" t="s">
        <v>137</v>
      </c>
      <c r="E7">
        <v>52.638650097766501</v>
      </c>
      <c r="F7">
        <v>4.7497311085302201</v>
      </c>
      <c r="G7">
        <v>8</v>
      </c>
      <c r="H7">
        <v>3.9</v>
      </c>
      <c r="I7">
        <v>4.0599999999999996</v>
      </c>
      <c r="J7">
        <v>21</v>
      </c>
      <c r="K7">
        <v>35</v>
      </c>
    </row>
    <row r="8" spans="1:12" ht="13.95" customHeight="1" x14ac:dyDescent="0.3">
      <c r="A8" t="s">
        <v>138</v>
      </c>
      <c r="B8" s="13">
        <v>42817.582974537036</v>
      </c>
      <c r="C8" t="s">
        <v>9</v>
      </c>
      <c r="D8" t="s">
        <v>139</v>
      </c>
      <c r="E8">
        <v>52.637974181054403</v>
      </c>
      <c r="F8">
        <v>4.74992422759078</v>
      </c>
      <c r="G8">
        <v>63</v>
      </c>
      <c r="H8">
        <v>3.6</v>
      </c>
      <c r="I8">
        <v>4.08</v>
      </c>
      <c r="J8">
        <v>23</v>
      </c>
      <c r="K8">
        <v>40</v>
      </c>
    </row>
    <row r="9" spans="1:12" ht="13.95" customHeight="1" x14ac:dyDescent="0.3">
      <c r="A9" t="s">
        <v>140</v>
      </c>
      <c r="B9" s="13">
        <v>42817.585185185184</v>
      </c>
      <c r="C9" t="s">
        <v>9</v>
      </c>
      <c r="D9" t="s">
        <v>141</v>
      </c>
      <c r="E9">
        <v>52.638489165216001</v>
      </c>
      <c r="F9">
        <v>4.7500100582843698</v>
      </c>
      <c r="G9">
        <v>0</v>
      </c>
      <c r="H9">
        <v>3.6</v>
      </c>
      <c r="I9">
        <v>4.0599999999999996</v>
      </c>
      <c r="J9">
        <v>24</v>
      </c>
      <c r="K9">
        <v>110</v>
      </c>
    </row>
    <row r="10" spans="1:12" ht="13.95" customHeight="1" x14ac:dyDescent="0.3">
      <c r="A10" t="s">
        <v>142</v>
      </c>
      <c r="B10" s="13">
        <v>42817.586956018517</v>
      </c>
      <c r="C10" t="s">
        <v>9</v>
      </c>
      <c r="D10" t="s">
        <v>143</v>
      </c>
      <c r="E10">
        <v>52.638360419175598</v>
      </c>
      <c r="F10">
        <v>4.7498169392238196</v>
      </c>
      <c r="G10">
        <v>0</v>
      </c>
      <c r="H10">
        <v>2</v>
      </c>
      <c r="I10">
        <v>4.04</v>
      </c>
      <c r="J10">
        <v>25</v>
      </c>
      <c r="K10">
        <v>20</v>
      </c>
    </row>
    <row r="11" spans="1:12" ht="13.95" customHeight="1" x14ac:dyDescent="0.3">
      <c r="A11" t="s">
        <v>144</v>
      </c>
      <c r="B11" s="13">
        <v>42817.588402777779</v>
      </c>
      <c r="C11" t="s">
        <v>9</v>
      </c>
      <c r="D11" t="s">
        <v>145</v>
      </c>
      <c r="E11">
        <v>52.636858382037701</v>
      </c>
      <c r="F11">
        <v>4.75093273824052</v>
      </c>
      <c r="G11">
        <v>20</v>
      </c>
      <c r="H11">
        <v>3.3</v>
      </c>
      <c r="I11">
        <v>4.0599999999999996</v>
      </c>
      <c r="J11">
        <v>24</v>
      </c>
      <c r="K11">
        <v>25</v>
      </c>
    </row>
    <row r="12" spans="1:12" ht="13.95" customHeight="1" x14ac:dyDescent="0.3">
      <c r="A12" t="s">
        <v>146</v>
      </c>
      <c r="B12" s="13">
        <v>42817.594027777777</v>
      </c>
      <c r="C12" t="s">
        <v>9</v>
      </c>
      <c r="D12" t="s">
        <v>147</v>
      </c>
      <c r="E12">
        <v>52.636858382037701</v>
      </c>
      <c r="F12">
        <v>4.75093273824052</v>
      </c>
      <c r="G12">
        <v>20</v>
      </c>
      <c r="H12">
        <v>3.3</v>
      </c>
      <c r="I12">
        <v>4.04</v>
      </c>
      <c r="J12">
        <v>24</v>
      </c>
      <c r="K12">
        <v>125</v>
      </c>
    </row>
    <row r="13" spans="1:12" ht="13.95" customHeight="1" x14ac:dyDescent="0.3">
      <c r="A13" t="s">
        <v>148</v>
      </c>
      <c r="B13" s="13">
        <v>42817.594224537039</v>
      </c>
      <c r="C13" t="s">
        <v>9</v>
      </c>
      <c r="D13" t="s">
        <v>149</v>
      </c>
      <c r="E13">
        <v>52.6360537192853</v>
      </c>
      <c r="F13">
        <v>4.7505465001193503</v>
      </c>
      <c r="G13">
        <v>0</v>
      </c>
      <c r="H13">
        <v>2</v>
      </c>
      <c r="I13">
        <v>4.04</v>
      </c>
      <c r="J13">
        <v>24</v>
      </c>
      <c r="K13">
        <v>10</v>
      </c>
    </row>
    <row r="14" spans="1:12" ht="13.95" customHeight="1" x14ac:dyDescent="0.3">
      <c r="A14" t="s">
        <v>150</v>
      </c>
      <c r="B14" s="13">
        <v>42817.595625000002</v>
      </c>
      <c r="C14" t="s">
        <v>9</v>
      </c>
      <c r="D14" t="s">
        <v>151</v>
      </c>
      <c r="E14">
        <v>52.638371148012297</v>
      </c>
      <c r="F14">
        <v>4.7496023624898296</v>
      </c>
      <c r="G14">
        <v>0</v>
      </c>
      <c r="H14">
        <v>2.2999999999999998</v>
      </c>
      <c r="I14">
        <v>4.04</v>
      </c>
      <c r="J14">
        <v>24</v>
      </c>
      <c r="K14">
        <v>10</v>
      </c>
    </row>
    <row r="15" spans="1:12" ht="13.95" customHeight="1" x14ac:dyDescent="0.3">
      <c r="A15" t="s">
        <v>152</v>
      </c>
      <c r="B15" s="13">
        <v>42818.5934837963</v>
      </c>
      <c r="C15" t="s">
        <v>68</v>
      </c>
      <c r="D15" t="s">
        <v>69</v>
      </c>
      <c r="E15">
        <v>52.616505778819601</v>
      </c>
      <c r="F15">
        <v>4.7449460473624097</v>
      </c>
      <c r="G15">
        <v>0</v>
      </c>
      <c r="H15">
        <v>1</v>
      </c>
      <c r="I15">
        <v>4.08</v>
      </c>
      <c r="J15">
        <v>24</v>
      </c>
      <c r="K15">
        <v>0</v>
      </c>
    </row>
    <row r="16" spans="1:12" ht="13.95" customHeight="1" x14ac:dyDescent="0.3">
      <c r="A16" t="s">
        <v>70</v>
      </c>
      <c r="B16" s="13">
        <v>42818.599270833336</v>
      </c>
      <c r="C16" t="s">
        <v>68</v>
      </c>
      <c r="D16" t="s">
        <v>71</v>
      </c>
      <c r="E16">
        <v>52.616505778819601</v>
      </c>
      <c r="F16">
        <v>4.7449460473624097</v>
      </c>
      <c r="G16">
        <v>0</v>
      </c>
      <c r="H16">
        <v>1</v>
      </c>
      <c r="I16">
        <v>4.2</v>
      </c>
      <c r="J16">
        <v>24</v>
      </c>
      <c r="K16">
        <v>0</v>
      </c>
    </row>
    <row r="17" spans="1:11" ht="13.95" customHeight="1" x14ac:dyDescent="0.3">
      <c r="A17" t="s">
        <v>72</v>
      </c>
      <c r="B17" s="13">
        <v>42818.600798611114</v>
      </c>
      <c r="C17" t="s">
        <v>68</v>
      </c>
      <c r="D17" t="s">
        <v>73</v>
      </c>
      <c r="E17">
        <v>52.616505778819601</v>
      </c>
      <c r="F17">
        <v>4.7449460473624097</v>
      </c>
      <c r="G17">
        <v>0</v>
      </c>
      <c r="H17">
        <v>1</v>
      </c>
      <c r="I17">
        <v>4.22</v>
      </c>
      <c r="J17">
        <v>24</v>
      </c>
      <c r="K17">
        <v>0</v>
      </c>
    </row>
    <row r="18" spans="1:11" ht="13.95" customHeight="1" x14ac:dyDescent="0.3">
      <c r="A18" t="s">
        <v>74</v>
      </c>
      <c r="B18" s="13">
        <v>42818.603854166664</v>
      </c>
      <c r="C18" t="s">
        <v>68</v>
      </c>
      <c r="D18" t="s">
        <v>73</v>
      </c>
      <c r="E18">
        <v>52.616505778819601</v>
      </c>
      <c r="F18">
        <v>4.7449460473624097</v>
      </c>
      <c r="G18">
        <v>0</v>
      </c>
      <c r="H18">
        <v>1</v>
      </c>
      <c r="I18">
        <v>4.22</v>
      </c>
      <c r="J18">
        <v>24</v>
      </c>
      <c r="K18">
        <v>0</v>
      </c>
    </row>
    <row r="19" spans="1:11" ht="13.95" customHeight="1" x14ac:dyDescent="0.3">
      <c r="A19" t="s">
        <v>75</v>
      </c>
      <c r="B19" s="13">
        <v>42818.608553240738</v>
      </c>
      <c r="C19" t="s">
        <v>68</v>
      </c>
      <c r="D19" t="s">
        <v>76</v>
      </c>
      <c r="E19">
        <v>52.616548694166397</v>
      </c>
      <c r="F19">
        <v>4.7449031320156196</v>
      </c>
      <c r="G19">
        <v>0</v>
      </c>
      <c r="H19">
        <v>1</v>
      </c>
      <c r="I19">
        <v>4.2</v>
      </c>
      <c r="J19">
        <v>24</v>
      </c>
      <c r="K19">
        <v>0</v>
      </c>
    </row>
    <row r="20" spans="1:11" ht="13.95" customHeight="1" x14ac:dyDescent="0.3">
      <c r="A20" t="s">
        <v>77</v>
      </c>
      <c r="B20" s="13">
        <v>42818.612974537034</v>
      </c>
      <c r="C20" t="s">
        <v>68</v>
      </c>
      <c r="D20" t="s">
        <v>78</v>
      </c>
      <c r="E20">
        <v>52.616537965329698</v>
      </c>
      <c r="F20">
        <v>4.7448816743422499</v>
      </c>
      <c r="G20">
        <v>0</v>
      </c>
      <c r="H20">
        <v>1</v>
      </c>
      <c r="I20">
        <v>4.2</v>
      </c>
      <c r="J20">
        <v>22</v>
      </c>
      <c r="K20">
        <v>0</v>
      </c>
    </row>
    <row r="21" spans="1:11" ht="13.95" customHeight="1" x14ac:dyDescent="0.3">
      <c r="A21" t="s">
        <v>79</v>
      </c>
      <c r="B21" s="13">
        <v>42818.615312499998</v>
      </c>
      <c r="C21" t="s">
        <v>68</v>
      </c>
      <c r="D21" t="s">
        <v>80</v>
      </c>
      <c r="E21">
        <v>52.616537965329698</v>
      </c>
      <c r="F21">
        <v>4.7448816743422499</v>
      </c>
      <c r="G21">
        <v>0</v>
      </c>
      <c r="H21">
        <v>1</v>
      </c>
      <c r="I21">
        <v>4.18</v>
      </c>
      <c r="J21">
        <v>22</v>
      </c>
      <c r="K21">
        <v>0</v>
      </c>
    </row>
    <row r="22" spans="1:11" ht="13.95" customHeight="1" x14ac:dyDescent="0.3">
      <c r="A22" t="s">
        <v>81</v>
      </c>
      <c r="B22" s="13">
        <v>42818.620173611111</v>
      </c>
      <c r="C22" t="s">
        <v>68</v>
      </c>
      <c r="D22" t="s">
        <v>82</v>
      </c>
      <c r="E22">
        <v>52.616484321146203</v>
      </c>
      <c r="F22">
        <v>4.7449031320156196</v>
      </c>
      <c r="G22">
        <v>0</v>
      </c>
      <c r="H22">
        <v>1</v>
      </c>
      <c r="I22">
        <v>4.16</v>
      </c>
      <c r="J22">
        <v>22</v>
      </c>
      <c r="K22">
        <v>0</v>
      </c>
    </row>
    <row r="23" spans="1:11" ht="13.95" customHeight="1" x14ac:dyDescent="0.3">
      <c r="A23" t="s">
        <v>83</v>
      </c>
      <c r="B23" s="13">
        <v>42818.624606481484</v>
      </c>
      <c r="C23" t="s">
        <v>68</v>
      </c>
      <c r="D23" t="s">
        <v>84</v>
      </c>
      <c r="E23">
        <v>52.616537965329698</v>
      </c>
      <c r="F23">
        <v>4.7448173013220298</v>
      </c>
      <c r="G23">
        <v>0</v>
      </c>
      <c r="H23">
        <v>1.9</v>
      </c>
      <c r="I23">
        <v>4.16</v>
      </c>
      <c r="J23">
        <v>22</v>
      </c>
      <c r="K23">
        <v>0</v>
      </c>
    </row>
    <row r="24" spans="1:11" ht="13.95" customHeight="1" x14ac:dyDescent="0.3">
      <c r="A24" t="s">
        <v>85</v>
      </c>
      <c r="B24" s="13">
        <v>42818.628634259258</v>
      </c>
      <c r="C24" t="s">
        <v>68</v>
      </c>
      <c r="D24" t="s">
        <v>86</v>
      </c>
      <c r="E24">
        <v>52.616548694166397</v>
      </c>
      <c r="F24">
        <v>4.7449031320156196</v>
      </c>
      <c r="G24">
        <v>0</v>
      </c>
      <c r="H24">
        <v>1.8</v>
      </c>
      <c r="I24">
        <v>4.1399999999999997</v>
      </c>
      <c r="J24">
        <v>22</v>
      </c>
      <c r="K24">
        <v>0</v>
      </c>
    </row>
    <row r="25" spans="1:11" ht="13.95" customHeight="1" x14ac:dyDescent="0.3">
      <c r="A25" t="s">
        <v>87</v>
      </c>
      <c r="B25" s="13">
        <v>42818.636273148149</v>
      </c>
      <c r="C25" t="s">
        <v>68</v>
      </c>
      <c r="D25" t="s">
        <v>88</v>
      </c>
      <c r="E25">
        <v>52.616505778819601</v>
      </c>
      <c r="F25">
        <v>4.7448387589954502</v>
      </c>
      <c r="G25">
        <v>0</v>
      </c>
      <c r="H25">
        <v>1</v>
      </c>
      <c r="I25">
        <v>4.12</v>
      </c>
      <c r="J25">
        <v>22</v>
      </c>
      <c r="K25">
        <v>0</v>
      </c>
    </row>
    <row r="26" spans="1:11" ht="13.95" customHeight="1" x14ac:dyDescent="0.3">
      <c r="A26" t="s">
        <v>89</v>
      </c>
      <c r="B26" s="13">
        <v>42818.637384259258</v>
      </c>
      <c r="C26" t="s">
        <v>68</v>
      </c>
      <c r="D26" t="s">
        <v>90</v>
      </c>
      <c r="E26">
        <v>52.6165165076563</v>
      </c>
      <c r="F26">
        <v>4.7448387589954502</v>
      </c>
      <c r="G26">
        <v>0</v>
      </c>
      <c r="H26">
        <v>1</v>
      </c>
      <c r="I26">
        <v>4.0999999999999996</v>
      </c>
      <c r="J26">
        <v>22</v>
      </c>
      <c r="K26">
        <v>0</v>
      </c>
    </row>
    <row r="27" spans="1:11" ht="13.95" customHeight="1" x14ac:dyDescent="0.3">
      <c r="A27" t="s">
        <v>91</v>
      </c>
      <c r="B27" s="13">
        <v>42818.642858796295</v>
      </c>
      <c r="C27" t="s">
        <v>68</v>
      </c>
      <c r="D27" t="s">
        <v>92</v>
      </c>
      <c r="E27">
        <v>52.616484321146203</v>
      </c>
      <c r="F27">
        <v>4.7449460473624097</v>
      </c>
      <c r="G27">
        <v>0</v>
      </c>
      <c r="H27">
        <v>1.4</v>
      </c>
      <c r="I27">
        <v>4.08</v>
      </c>
      <c r="J27">
        <v>21</v>
      </c>
      <c r="K27">
        <v>0</v>
      </c>
    </row>
    <row r="28" spans="1:11" ht="13.95" customHeight="1" x14ac:dyDescent="0.3">
      <c r="A28" t="s">
        <v>93</v>
      </c>
      <c r="B28" s="13">
        <v>42818.645254629628</v>
      </c>
      <c r="C28" t="s">
        <v>68</v>
      </c>
      <c r="D28" t="s">
        <v>94</v>
      </c>
      <c r="E28">
        <v>52.6165165076563</v>
      </c>
      <c r="F28">
        <v>4.7448816743422499</v>
      </c>
      <c r="G28">
        <v>0</v>
      </c>
      <c r="H28">
        <v>0.8</v>
      </c>
      <c r="I28">
        <v>4.08</v>
      </c>
      <c r="J28">
        <v>21</v>
      </c>
      <c r="K28">
        <v>0</v>
      </c>
    </row>
    <row r="29" spans="1:11" ht="13.95" customHeight="1" x14ac:dyDescent="0.3">
      <c r="A29" t="s">
        <v>95</v>
      </c>
      <c r="B29" s="13">
        <v>42818.652708333335</v>
      </c>
      <c r="C29" t="s">
        <v>68</v>
      </c>
      <c r="D29" t="s">
        <v>96</v>
      </c>
      <c r="E29">
        <v>52.616441405799399</v>
      </c>
      <c r="F29">
        <v>4.7448816743422499</v>
      </c>
      <c r="G29">
        <v>0</v>
      </c>
      <c r="H29">
        <v>0.8</v>
      </c>
      <c r="I29">
        <v>4.08</v>
      </c>
      <c r="J29">
        <v>21</v>
      </c>
      <c r="K29">
        <v>0</v>
      </c>
    </row>
    <row r="30" spans="1:11" ht="13.95" customHeight="1" x14ac:dyDescent="0.3">
      <c r="A30" t="s">
        <v>97</v>
      </c>
      <c r="B30" s="13">
        <v>42818.653599537036</v>
      </c>
      <c r="C30" t="s">
        <v>68</v>
      </c>
      <c r="D30" t="s">
        <v>98</v>
      </c>
      <c r="E30">
        <v>52.616473592309497</v>
      </c>
      <c r="F30">
        <v>4.7448387589954502</v>
      </c>
      <c r="G30">
        <v>0</v>
      </c>
      <c r="H30">
        <v>0.9</v>
      </c>
      <c r="I30">
        <v>4.0599999999999996</v>
      </c>
      <c r="J30">
        <v>21</v>
      </c>
      <c r="K30">
        <v>0</v>
      </c>
    </row>
    <row r="31" spans="1:11" ht="13.95" customHeight="1" x14ac:dyDescent="0.3">
      <c r="A31" t="s">
        <v>99</v>
      </c>
      <c r="B31" s="13">
        <v>42818.659143518518</v>
      </c>
      <c r="C31" t="s">
        <v>68</v>
      </c>
      <c r="D31" t="s">
        <v>100</v>
      </c>
      <c r="E31">
        <v>52.616505778819601</v>
      </c>
      <c r="F31">
        <v>4.7448816743422499</v>
      </c>
      <c r="G31">
        <v>0</v>
      </c>
      <c r="H31">
        <v>0.9</v>
      </c>
      <c r="I31">
        <v>4.0599999999999996</v>
      </c>
      <c r="J31">
        <v>21</v>
      </c>
      <c r="K31">
        <v>0</v>
      </c>
    </row>
    <row r="32" spans="1:11" ht="13.95" customHeight="1" x14ac:dyDescent="0.3">
      <c r="A32" t="s">
        <v>101</v>
      </c>
      <c r="B32" s="13">
        <v>42818.662118055552</v>
      </c>
      <c r="C32" t="s">
        <v>68</v>
      </c>
      <c r="D32" t="s">
        <v>102</v>
      </c>
      <c r="E32">
        <v>52.6165165076563</v>
      </c>
      <c r="F32">
        <v>4.74492458968904</v>
      </c>
      <c r="G32">
        <v>0</v>
      </c>
      <c r="H32">
        <v>1</v>
      </c>
      <c r="I32">
        <v>4.04</v>
      </c>
      <c r="J32">
        <v>21</v>
      </c>
      <c r="K32">
        <v>0</v>
      </c>
    </row>
    <row r="33" spans="1:11" ht="13.95" customHeight="1" x14ac:dyDescent="0.3">
      <c r="A33" t="s">
        <v>103</v>
      </c>
      <c r="B33" s="13">
        <v>42818.664803240739</v>
      </c>
      <c r="C33" t="s">
        <v>68</v>
      </c>
      <c r="D33" t="s">
        <v>104</v>
      </c>
      <c r="E33">
        <v>52.6165165076563</v>
      </c>
      <c r="F33">
        <v>4.7448602166688199</v>
      </c>
      <c r="G33">
        <v>0</v>
      </c>
      <c r="H33">
        <v>0.9</v>
      </c>
      <c r="I33">
        <v>4.04</v>
      </c>
      <c r="J33">
        <v>21</v>
      </c>
      <c r="K33">
        <v>0</v>
      </c>
    </row>
    <row r="34" spans="1:11" ht="13.95" customHeight="1" x14ac:dyDescent="0.3">
      <c r="A34" t="s">
        <v>105</v>
      </c>
      <c r="B34" s="13">
        <v>42818.670983796299</v>
      </c>
      <c r="C34" t="s">
        <v>68</v>
      </c>
      <c r="D34" t="s">
        <v>106</v>
      </c>
      <c r="E34">
        <v>52.616570151839802</v>
      </c>
      <c r="F34">
        <v>4.7449460473624097</v>
      </c>
      <c r="G34">
        <v>0</v>
      </c>
      <c r="H34">
        <v>0.9</v>
      </c>
      <c r="I34">
        <v>4.04</v>
      </c>
      <c r="J34">
        <v>21</v>
      </c>
      <c r="K34">
        <v>0</v>
      </c>
    </row>
    <row r="35" spans="1:11" ht="13.95" customHeight="1" x14ac:dyDescent="0.3">
      <c r="A35" t="s">
        <v>107</v>
      </c>
      <c r="B35" s="13">
        <v>42819.656134259261</v>
      </c>
      <c r="C35" t="s">
        <v>108</v>
      </c>
      <c r="D35" t="s">
        <v>109</v>
      </c>
      <c r="E35">
        <v>52.638328232665501</v>
      </c>
      <c r="F35">
        <v>4.7495594471430396</v>
      </c>
      <c r="G35">
        <v>11</v>
      </c>
      <c r="H35">
        <v>1.3</v>
      </c>
      <c r="I35">
        <v>3.9</v>
      </c>
      <c r="J35">
        <v>-2</v>
      </c>
      <c r="K35">
        <v>145</v>
      </c>
    </row>
    <row r="36" spans="1:11" ht="13.95" customHeight="1" x14ac:dyDescent="0.3">
      <c r="A36" t="s">
        <v>110</v>
      </c>
      <c r="B36" s="13">
        <v>42819.657523148147</v>
      </c>
      <c r="C36" t="s">
        <v>108</v>
      </c>
      <c r="D36" t="s">
        <v>111</v>
      </c>
      <c r="E36">
        <v>52.638392605685702</v>
      </c>
      <c r="F36">
        <v>4.7496238201632002</v>
      </c>
      <c r="G36">
        <v>10</v>
      </c>
      <c r="H36">
        <v>1</v>
      </c>
      <c r="I36">
        <v>3.9</v>
      </c>
      <c r="J36">
        <v>-6</v>
      </c>
      <c r="K36">
        <v>10</v>
      </c>
    </row>
    <row r="37" spans="1:11" ht="13.95" customHeight="1" x14ac:dyDescent="0.3">
      <c r="A37" t="s">
        <v>112</v>
      </c>
      <c r="B37" s="13">
        <v>42819.65892361111</v>
      </c>
      <c r="C37" t="s">
        <v>108</v>
      </c>
      <c r="D37" t="s">
        <v>113</v>
      </c>
      <c r="E37">
        <v>52.638349690338899</v>
      </c>
      <c r="F37">
        <v>4.7495809048164102</v>
      </c>
      <c r="G37">
        <v>8</v>
      </c>
      <c r="H37">
        <v>1.2</v>
      </c>
      <c r="I37">
        <v>3.9</v>
      </c>
      <c r="J37">
        <v>-7</v>
      </c>
      <c r="K37">
        <v>10</v>
      </c>
    </row>
    <row r="38" spans="1:11" ht="13.95" customHeight="1" x14ac:dyDescent="0.3">
      <c r="A38" t="s">
        <v>114</v>
      </c>
      <c r="B38" s="13">
        <v>42819.660312499997</v>
      </c>
      <c r="C38" t="s">
        <v>108</v>
      </c>
      <c r="D38" t="s">
        <v>115</v>
      </c>
      <c r="E38">
        <v>52.638328232665501</v>
      </c>
      <c r="F38">
        <v>4.7496238201632002</v>
      </c>
      <c r="G38">
        <v>0</v>
      </c>
      <c r="H38">
        <v>1</v>
      </c>
      <c r="I38">
        <v>3.88</v>
      </c>
      <c r="J38">
        <v>-7</v>
      </c>
      <c r="K38">
        <v>10</v>
      </c>
    </row>
    <row r="39" spans="1:11" ht="13.95" customHeight="1" x14ac:dyDescent="0.3">
      <c r="A39" t="s">
        <v>116</v>
      </c>
      <c r="B39" s="13">
        <v>42819.661712962959</v>
      </c>
      <c r="C39" t="s">
        <v>108</v>
      </c>
      <c r="D39" t="s">
        <v>117</v>
      </c>
      <c r="E39">
        <v>52.638328232665501</v>
      </c>
      <c r="F39">
        <v>4.7496023624898296</v>
      </c>
      <c r="G39">
        <v>0</v>
      </c>
      <c r="H39">
        <v>0.9</v>
      </c>
      <c r="I39">
        <v>3.88</v>
      </c>
      <c r="J39">
        <v>-10</v>
      </c>
      <c r="K39">
        <v>10</v>
      </c>
    </row>
    <row r="40" spans="1:11" ht="13.95" customHeight="1" x14ac:dyDescent="0.3">
      <c r="A40" t="s">
        <v>118</v>
      </c>
      <c r="B40" s="13">
        <v>42819.663113425922</v>
      </c>
      <c r="C40" t="s">
        <v>108</v>
      </c>
      <c r="D40" t="s">
        <v>119</v>
      </c>
      <c r="E40">
        <v>52.6382531308086</v>
      </c>
      <c r="F40">
        <v>4.7494736164494498</v>
      </c>
      <c r="G40">
        <v>27</v>
      </c>
      <c r="H40">
        <v>1.3</v>
      </c>
      <c r="I40">
        <v>3.88</v>
      </c>
      <c r="J40">
        <v>-7</v>
      </c>
      <c r="K40">
        <v>10</v>
      </c>
    </row>
    <row r="41" spans="1:11" ht="13.95" customHeight="1" x14ac:dyDescent="0.3">
      <c r="A41" t="s">
        <v>120</v>
      </c>
      <c r="B41" s="13">
        <v>42819.664513888885</v>
      </c>
      <c r="C41" t="s">
        <v>108</v>
      </c>
      <c r="D41" t="s">
        <v>121</v>
      </c>
      <c r="E41">
        <v>52.638317503828802</v>
      </c>
      <c r="F41">
        <v>4.7495809048164102</v>
      </c>
      <c r="G41">
        <v>23</v>
      </c>
      <c r="H41">
        <v>1.3</v>
      </c>
      <c r="I41">
        <v>3.88</v>
      </c>
      <c r="J41">
        <v>-7</v>
      </c>
      <c r="K41">
        <v>10</v>
      </c>
    </row>
    <row r="42" spans="1:11" ht="13.95" customHeight="1" x14ac:dyDescent="0.3">
      <c r="A42" t="s">
        <v>122</v>
      </c>
      <c r="B42" s="13">
        <v>42819.665914351855</v>
      </c>
      <c r="C42" t="s">
        <v>108</v>
      </c>
      <c r="D42" t="s">
        <v>123</v>
      </c>
      <c r="E42">
        <v>52.638360419175598</v>
      </c>
      <c r="F42">
        <v>4.7495809048164102</v>
      </c>
      <c r="G42">
        <v>6</v>
      </c>
      <c r="H42">
        <v>1.7</v>
      </c>
      <c r="I42">
        <v>3.88</v>
      </c>
      <c r="J42">
        <v>-8</v>
      </c>
      <c r="K42">
        <v>10</v>
      </c>
    </row>
    <row r="43" spans="1:11" ht="13.95" customHeight="1" x14ac:dyDescent="0.3">
      <c r="A43" t="s">
        <v>153</v>
      </c>
      <c r="B43" s="13">
        <v>42819.667314814818</v>
      </c>
      <c r="C43" t="s">
        <v>108</v>
      </c>
      <c r="D43" t="s">
        <v>124</v>
      </c>
      <c r="E43">
        <v>52.638360419175598</v>
      </c>
      <c r="F43">
        <v>4.7494950741228097</v>
      </c>
      <c r="G43">
        <v>19</v>
      </c>
      <c r="H43">
        <v>1.7</v>
      </c>
      <c r="I43">
        <v>3.88</v>
      </c>
      <c r="J43">
        <v>-7</v>
      </c>
      <c r="K43">
        <v>10</v>
      </c>
    </row>
    <row r="44" spans="1:11" ht="13.95" customHeight="1" x14ac:dyDescent="0.3">
      <c r="A44" t="s">
        <v>155</v>
      </c>
      <c r="B44" s="13">
        <v>42819.670115740744</v>
      </c>
      <c r="C44" t="s">
        <v>108</v>
      </c>
      <c r="D44" t="s">
        <v>154</v>
      </c>
      <c r="E44">
        <v>52.638328232665501</v>
      </c>
      <c r="F44">
        <v>4.7495594471430396</v>
      </c>
      <c r="G44">
        <v>0</v>
      </c>
      <c r="H44">
        <v>1</v>
      </c>
      <c r="I44">
        <v>3.88</v>
      </c>
      <c r="J44">
        <v>-7</v>
      </c>
      <c r="K44">
        <v>10</v>
      </c>
    </row>
    <row r="45" spans="1:11" ht="13.95" customHeight="1" x14ac:dyDescent="0.3">
      <c r="A45" t="s">
        <v>156</v>
      </c>
      <c r="B45" s="13">
        <v>42819.671516203707</v>
      </c>
      <c r="C45" t="s">
        <v>108</v>
      </c>
      <c r="D45" t="s">
        <v>157</v>
      </c>
      <c r="E45">
        <v>52.638349690338899</v>
      </c>
      <c r="F45">
        <v>4.7495594471430396</v>
      </c>
      <c r="G45">
        <v>0</v>
      </c>
      <c r="H45">
        <v>1.6</v>
      </c>
      <c r="I45">
        <v>3.88</v>
      </c>
      <c r="J45">
        <v>-8</v>
      </c>
      <c r="K45">
        <v>10</v>
      </c>
    </row>
    <row r="46" spans="1:11" ht="13.95" customHeight="1" x14ac:dyDescent="0.3">
      <c r="A46" t="s">
        <v>158</v>
      </c>
      <c r="B46" s="13">
        <v>42819.67291666667</v>
      </c>
      <c r="C46" t="s">
        <v>108</v>
      </c>
      <c r="D46" t="s">
        <v>159</v>
      </c>
      <c r="E46">
        <v>52.638263859645299</v>
      </c>
      <c r="F46">
        <v>4.7495379894696104</v>
      </c>
      <c r="G46">
        <v>3</v>
      </c>
      <c r="H46">
        <v>1</v>
      </c>
      <c r="I46">
        <v>3.88</v>
      </c>
      <c r="J46">
        <v>-7</v>
      </c>
      <c r="K46">
        <v>10</v>
      </c>
    </row>
    <row r="47" spans="1:11" ht="13.95" customHeight="1" x14ac:dyDescent="0.3">
      <c r="A47" t="s">
        <v>160</v>
      </c>
      <c r="B47" s="13">
        <v>42819.674305555556</v>
      </c>
      <c r="C47" t="s">
        <v>108</v>
      </c>
      <c r="D47" t="s">
        <v>161</v>
      </c>
      <c r="E47">
        <v>52.638360419175598</v>
      </c>
      <c r="F47">
        <v>4.7496023624898296</v>
      </c>
      <c r="G47">
        <v>0</v>
      </c>
      <c r="H47">
        <v>1</v>
      </c>
      <c r="I47">
        <v>3.88</v>
      </c>
      <c r="J47">
        <v>-9</v>
      </c>
      <c r="K47">
        <v>10</v>
      </c>
    </row>
    <row r="48" spans="1:11" ht="13.95" customHeight="1" x14ac:dyDescent="0.3">
      <c r="A48" t="s">
        <v>164</v>
      </c>
      <c r="B48" s="13">
        <v>42819.675706018519</v>
      </c>
      <c r="C48" t="s">
        <v>108</v>
      </c>
      <c r="D48" t="s">
        <v>162</v>
      </c>
      <c r="E48">
        <v>52.638285317318697</v>
      </c>
      <c r="F48">
        <v>4.7495379894696104</v>
      </c>
      <c r="G48">
        <v>17</v>
      </c>
      <c r="H48">
        <v>1.8</v>
      </c>
      <c r="I48">
        <v>3.88</v>
      </c>
      <c r="J48">
        <v>-8</v>
      </c>
      <c r="K48">
        <v>10</v>
      </c>
    </row>
    <row r="49" spans="1:11" ht="13.95" customHeight="1" x14ac:dyDescent="0.3">
      <c r="A49" t="s">
        <v>165</v>
      </c>
      <c r="B49" s="13">
        <v>42819.676863425928</v>
      </c>
      <c r="C49" t="s">
        <v>166</v>
      </c>
      <c r="D49" t="s">
        <v>167</v>
      </c>
      <c r="E49">
        <v>52.638403334522401</v>
      </c>
      <c r="F49">
        <v>4.7495809048164102</v>
      </c>
      <c r="G49">
        <v>0</v>
      </c>
      <c r="H49">
        <v>1.2</v>
      </c>
      <c r="I49">
        <v>4.28</v>
      </c>
      <c r="J49">
        <v>15</v>
      </c>
      <c r="K49">
        <v>80</v>
      </c>
    </row>
    <row r="50" spans="1:11" ht="13.95" customHeight="1" x14ac:dyDescent="0.3">
      <c r="A50" t="s">
        <v>168</v>
      </c>
      <c r="B50" s="13">
        <v>42819.677106481482</v>
      </c>
      <c r="C50" t="s">
        <v>108</v>
      </c>
      <c r="D50" t="s">
        <v>169</v>
      </c>
      <c r="E50">
        <v>52.638360419175598</v>
      </c>
      <c r="F50">
        <v>4.7494950741228097</v>
      </c>
      <c r="G50">
        <v>10</v>
      </c>
      <c r="H50">
        <v>1.8</v>
      </c>
      <c r="I50">
        <v>3.86</v>
      </c>
      <c r="J50">
        <v>-7</v>
      </c>
      <c r="K50">
        <v>10</v>
      </c>
    </row>
    <row r="51" spans="1:11" ht="13.95" customHeight="1" x14ac:dyDescent="0.3">
      <c r="A51" t="s">
        <v>170</v>
      </c>
      <c r="B51" s="13">
        <v>42819.678263888891</v>
      </c>
      <c r="C51" t="s">
        <v>166</v>
      </c>
      <c r="D51" t="s">
        <v>171</v>
      </c>
      <c r="E51">
        <v>52.638392605685702</v>
      </c>
      <c r="F51">
        <v>4.7496238201632002</v>
      </c>
      <c r="G51">
        <v>0</v>
      </c>
      <c r="H51">
        <v>1.2</v>
      </c>
      <c r="I51">
        <v>4.28</v>
      </c>
      <c r="J51">
        <v>11</v>
      </c>
      <c r="K51">
        <v>10</v>
      </c>
    </row>
    <row r="52" spans="1:11" ht="13.95" customHeight="1" x14ac:dyDescent="0.3">
      <c r="A52" s="14" t="s">
        <v>172</v>
      </c>
      <c r="B52" s="13">
        <v>42819.678506944445</v>
      </c>
      <c r="C52" t="s">
        <v>108</v>
      </c>
      <c r="D52" t="s">
        <v>173</v>
      </c>
      <c r="E52">
        <v>52.638317503828802</v>
      </c>
      <c r="F52">
        <v>4.7494521587760197</v>
      </c>
      <c r="G52">
        <v>0</v>
      </c>
      <c r="H52">
        <v>1.5</v>
      </c>
      <c r="I52">
        <v>3.86</v>
      </c>
      <c r="J52">
        <v>-8</v>
      </c>
      <c r="K52">
        <v>10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21</v>
      </c>
      <c r="R2" s="18" t="s">
        <v>12</v>
      </c>
      <c r="S2" s="30"/>
      <c r="T2" s="30"/>
      <c r="U2" s="19" t="s">
        <v>15</v>
      </c>
      <c r="V2" s="19" t="s">
        <v>16</v>
      </c>
      <c r="W2" s="20" t="s">
        <v>17</v>
      </c>
      <c r="X2" s="21" t="s">
        <v>18</v>
      </c>
      <c r="Y2" s="9" t="s">
        <v>19</v>
      </c>
      <c r="Z2" s="24" t="s">
        <v>20</v>
      </c>
      <c r="AA2" s="24"/>
      <c r="AB2" s="11" t="s">
        <v>26</v>
      </c>
      <c r="AC2" s="11"/>
      <c r="AD2" s="25" t="s">
        <v>25</v>
      </c>
      <c r="AE2" t="s">
        <v>37</v>
      </c>
      <c r="AF2" t="s">
        <v>27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28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28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28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28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28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28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28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28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32</v>
      </c>
      <c r="AF11" t="s">
        <v>28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36</v>
      </c>
      <c r="AF12" t="s">
        <v>28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33</v>
      </c>
      <c r="AF13" t="s">
        <v>28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28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29</v>
      </c>
      <c r="AF15" t="s">
        <v>28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28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34</v>
      </c>
      <c r="AF17" t="s">
        <v>28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28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35</v>
      </c>
      <c r="AF19" t="s">
        <v>28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28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30</v>
      </c>
      <c r="AF21" t="s">
        <v>38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30</v>
      </c>
      <c r="AF22" t="s">
        <v>38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43</v>
      </c>
      <c r="AF23" t="s">
        <v>39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43</v>
      </c>
      <c r="AF24" t="s">
        <v>39</v>
      </c>
    </row>
    <row r="25" spans="7:51" x14ac:dyDescent="0.3">
      <c r="G25" t="s">
        <v>22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31</v>
      </c>
      <c r="AF25" t="s">
        <v>40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31</v>
      </c>
      <c r="AF26" t="s">
        <v>40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67</v>
      </c>
      <c r="AF27" t="s">
        <v>50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66</v>
      </c>
      <c r="AF28" t="s">
        <v>50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60</v>
      </c>
      <c r="AF29" t="s">
        <v>49</v>
      </c>
      <c r="AY29" t="s">
        <v>41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65</v>
      </c>
      <c r="AF30" t="s">
        <v>49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44</v>
      </c>
      <c r="AD31" s="27" t="str">
        <f t="shared" si="0"/>
        <v/>
      </c>
      <c r="AE31" t="s">
        <v>61</v>
      </c>
      <c r="AF31" t="s">
        <v>51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45</v>
      </c>
      <c r="AD32" s="27">
        <f t="shared" si="0"/>
        <v>0.62557870370073942</v>
      </c>
      <c r="AE32" t="s">
        <v>58</v>
      </c>
      <c r="AF32" t="s">
        <v>51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44</v>
      </c>
      <c r="AD33" s="27" t="str">
        <f t="shared" si="0"/>
        <v/>
      </c>
      <c r="AE33" t="s">
        <v>60</v>
      </c>
      <c r="AF33" t="s">
        <v>51</v>
      </c>
    </row>
    <row r="34" spans="18:32" x14ac:dyDescent="0.3">
      <c r="R34" s="13">
        <v>42799.11377314815</v>
      </c>
      <c r="S34" t="s">
        <v>9</v>
      </c>
      <c r="T34" t="s">
        <v>46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45</v>
      </c>
      <c r="AD34" s="27">
        <f t="shared" si="0"/>
        <v>0.67269675926218042</v>
      </c>
      <c r="AE34" t="s">
        <v>59</v>
      </c>
      <c r="AF34" t="s">
        <v>51</v>
      </c>
    </row>
    <row r="35" spans="18:32" x14ac:dyDescent="0.3">
      <c r="R35" s="13">
        <v>42799.443969907406</v>
      </c>
      <c r="S35" t="s">
        <v>9</v>
      </c>
      <c r="T35" t="s">
        <v>47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44</v>
      </c>
      <c r="AD35" s="27" t="str">
        <f t="shared" si="0"/>
        <v/>
      </c>
      <c r="AE35" t="s">
        <v>62</v>
      </c>
      <c r="AF35" t="s">
        <v>51</v>
      </c>
    </row>
    <row r="36" spans="18:32" x14ac:dyDescent="0.3">
      <c r="R36" s="13">
        <v>42799.908009259256</v>
      </c>
      <c r="S36" t="s">
        <v>9</v>
      </c>
      <c r="T36" t="s">
        <v>48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45</v>
      </c>
      <c r="AD36" s="27">
        <f t="shared" si="0"/>
        <v>0.46403935184935108</v>
      </c>
      <c r="AE36" t="s">
        <v>58</v>
      </c>
      <c r="AF36" t="s">
        <v>51</v>
      </c>
    </row>
    <row r="37" spans="18:32" x14ac:dyDescent="0.3">
      <c r="R37" s="13">
        <v>42800.403368055559</v>
      </c>
      <c r="S37" t="s">
        <v>9</v>
      </c>
      <c r="T37" t="s">
        <v>52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44</v>
      </c>
      <c r="AD37" s="27" t="str">
        <f t="shared" si="0"/>
        <v/>
      </c>
      <c r="AE37" t="s">
        <v>63</v>
      </c>
    </row>
    <row r="38" spans="18:32" x14ac:dyDescent="0.3">
      <c r="R38" s="13">
        <v>42801.002650462964</v>
      </c>
      <c r="S38" t="s">
        <v>9</v>
      </c>
      <c r="T38" t="s">
        <v>53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45</v>
      </c>
      <c r="AD38" s="27">
        <f t="shared" si="0"/>
        <v>0.59928240740555339</v>
      </c>
      <c r="AE38" t="s">
        <v>57</v>
      </c>
    </row>
    <row r="39" spans="18:32" x14ac:dyDescent="0.3">
      <c r="R39" s="13">
        <v>42802.422662037039</v>
      </c>
      <c r="S39" t="s">
        <v>9</v>
      </c>
      <c r="T39" t="s">
        <v>54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44</v>
      </c>
      <c r="AD39" s="27" t="str">
        <f t="shared" si="0"/>
        <v/>
      </c>
      <c r="AE39" t="s">
        <v>64</v>
      </c>
    </row>
    <row r="40" spans="18:32" x14ac:dyDescent="0.3">
      <c r="R40" s="13">
        <v>42803.075104166666</v>
      </c>
      <c r="S40" t="s">
        <v>9</v>
      </c>
      <c r="T40" t="s">
        <v>55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45</v>
      </c>
      <c r="AD40" s="27">
        <f t="shared" si="0"/>
        <v>0.65244212962716119</v>
      </c>
      <c r="AE40" t="s">
        <v>56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2017-03-25T16:18:28Z</dcterms:modified>
</cp:coreProperties>
</file>